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i ResultsWithWEB_STARTIN" sheetId="1" r:id="rId5"/>
  </sheets>
  <definedNames/>
  <calcPr/>
</workbook>
</file>

<file path=xl/sharedStrings.xml><?xml version="1.0" encoding="utf-8"?>
<sst xmlns="http://schemas.openxmlformats.org/spreadsheetml/2006/main" count="568" uniqueCount="290">
  <si>
    <t>RESULTS</t>
  </si>
  <si>
    <t>Accuracy</t>
  </si>
  <si>
    <t># correct answers</t>
  </si>
  <si>
    <t># wrong answers</t>
  </si>
  <si>
    <t># total answers</t>
  </si>
  <si>
    <t xml:space="preserve">Global </t>
  </si>
  <si>
    <t xml:space="preserve">"DisciplinaDiUtilizzo" </t>
  </si>
  <si>
    <t xml:space="preserve">"CodiceAppalti" </t>
  </si>
  <si>
    <t xml:space="preserve">"FAQ" </t>
  </si>
  <si>
    <t xml:space="preserve">"GuidePraticheOE" </t>
  </si>
  <si>
    <t xml:space="preserve">"GuidePraticheSA" </t>
  </si>
  <si>
    <t>Interaction type</t>
  </si>
  <si>
    <t>Timestamp</t>
  </si>
  <si>
    <t>Category</t>
  </si>
  <si>
    <t>Question</t>
  </si>
  <si>
    <t>Answer</t>
  </si>
  <si>
    <t>Verdict</t>
  </si>
  <si>
    <t>InteractionType.WEB</t>
  </si>
  <si>
    <t>CodiceAppalti</t>
  </si>
  <si>
    <t>Secondo l'art. 62, comma 7, quali attività possono svolgere le centrali di committenza in relazione ai requisiti di qualificazione posseduti?</t>
  </si>
  <si>
    <t>Possono progettare, aggiudicare e stipulare contratti o accordi quadro per conto di altre amministrazioni, nonché acquisire lavori, servizi e forniture e svolgere attività di committenza ausiliaria in relazione ai requisiti di qualificazione posseduti.</t>
  </si>
  <si>
    <t>DisciplinaDiUtilizzo</t>
  </si>
  <si>
    <t>Chi è responsabile della predisposizione della documentazione e del rispetto delle disposizioni legislative per le gare telematiche effettuate tramite la piattaforma Empulia?</t>
  </si>
  <si>
    <t>La stazione appaltante (l’ente aderente che indice la gara).</t>
  </si>
  <si>
    <t>GuidePraticheSA</t>
  </si>
  <si>
    <t>Quali sono gli stati che una consultazione preliminare può assumere, secondo il testo?</t>
  </si>
  <si>
    <t>Bozza; Pubblicata; In corso; Chiusa (Conclusa); Annullata.</t>
  </si>
  <si>
    <t>Chi rimborsa le spese per la pubblicazione obbligatoria degli avvisi e dei bandi di gara e entro quale termine?</t>
  </si>
  <si>
    <t>Le spese sono rimborsate dall'aggiudicatario alla stazione appaltante entro 30 giorni dalla comunicazione dell'aggiudicazione.</t>
  </si>
  <si>
    <t>Entro quanti giorni dalla conclusione di un contratto o di un accordo quadro le stazioni appaltanti devono inviare l'avviso di aggiudicazione?</t>
  </si>
  <si>
    <t>Entro 30 giorni.</t>
  </si>
  <si>
    <t>Secondo l'art. 84, tramite quale strumento le stazioni appaltanti devono trasmettere all'Ufficio delle pubblicazioni dell'Unione europea i bandi e gli avvisi relativi ad appalti di importo pari o superiore alle soglie di cui all'articolo 14?</t>
  </si>
  <si>
    <t>Attraverso la Banca dati nazionale dei contratti pubblici (BDNCP).</t>
  </si>
  <si>
    <t>Chi è responsabile della predisposizione della documentazione e del rispetto delle disposizioni legislative e regolamentari nelle procedure di gare telematiche svolte tramite la piattaforma empulia?</t>
  </si>
  <si>
    <t>La stazione appaltante (l'ente aderente), tramite il suo Responsabile del Procedimento (RUP).</t>
  </si>
  <si>
    <t>GuidePraticheOE</t>
  </si>
  <si>
    <t>Quali passaggi deve seguire l’operatore economico per scaricare, firmare digitalmente e confermare un contratto sulla piattaforma Empulia?</t>
  </si>
  <si>
    <t>1) Accedi all'Area Riservata di EmPULIA.  
2) Individua il contratto: clicca sull’Oggetto del contratto nella Lista Attività mostrata all’accesso oppure vai in Contratti &gt; Elenco Contratti.  
3) Apri il dettaglio del contratto e scarica il PDF generato dal sistema.  
4) Firma digitalmente il PDF (con la tua smart card/token o firma remota secondo le modalità di firma digitale previste).  
5) Torna al dettaglio del contratto su EmPULIA e carica il PDF firmato (opzione per ricaricare/inviare il contratto firmato).  
6) Clicca “Conferma” / “Invia contratto firmato” per trasmettere la copia firmata all’Amministrazione; verifica lo stato nella sezione Elenco Contratti (contratti confermati/inviati).</t>
  </si>
  <si>
    <t>Chi cura e gestisce il registro delle piattaforme di approvvigionamento digitale certificate?</t>
  </si>
  <si>
    <t>ANAC (Autorità Nazionale Anticorruzione)</t>
  </si>
  <si>
    <t>Cosa succede a una comunicazione ricevuta se l'operatore economico accede all'area riservata dopo la data indicata come termine per la visualizzazione?</t>
  </si>
  <si>
    <t>La comunicazione risulta scaduta: non è più visualizzabile/azionabile nell’area riservata e l’operatore perde la possibilità di prenderne visione o di compiere eventuali azioni entro il termine previsto.</t>
  </si>
  <si>
    <t>Qual è l'azione obbligatoria (attività bloccante) che l'utente deve completare nella lista attività dopo essere entrato nella nuova piattaforma?</t>
  </si>
  <si>
    <t>Compilare il DGUE (Documento di Gara Unico Europeo) predisposto dalla piattaforma.</t>
  </si>
  <si>
    <t>Quale comando nella toolbar bisogna cliccare per inviare la risposta alla comunicazione?</t>
  </si>
  <si>
    <t>Invia</t>
  </si>
  <si>
    <t>Chi è responsabile del rispetto della normativa vigente sugli acquisti pubblici quando gli utenti utilizzano la piattaforma Empulia?</t>
  </si>
  <si>
    <t>L'ente aderente (la stazione appaltante/utente che utilizza EmPULIA).</t>
  </si>
  <si>
    <t>È consentito porre a carico dei concorrenti o dell'aggiudicatario i costi connessi alla gestione delle piattaforme di approvvigionamento digitale?</t>
  </si>
  <si>
    <t>No — è vietato porre a carico dei concorrenti o dell'aggiudicatario i costi connessi alla gestione delle piattaforme di approvvigionamento digitale.</t>
  </si>
  <si>
    <t>Secondo l'articolo 119, comma 4, quali condizioni devono essere soddisfatte affinché la stazione appaltante autorizzi il subappalto?</t>
  </si>
  <si>
    <t>La stazione appaltante autorizza il subappalto solo se l’affidatario indica i lavori/servizi da subappaltare e i dati identificativi del subappaltatore, se il subappaltatore è in possesso dei requisiti di qualificazione richiesti (compreso il DURC regolare) e se il subappalto rispetta i limiti e le condizioni percentuali previsti dalla legge/disciplinare; l’autorizzazione va rilasciata entro 30 giorni.</t>
  </si>
  <si>
    <t>FAQ</t>
  </si>
  <si>
    <t>L’impresa qualificata nella categoria generale OG11 viene iscritta automaticamente alle categorie speciali OS3, OS28 e OS30 dalla piattaforma EmPULIA?</t>
  </si>
  <si>
    <t>No.</t>
  </si>
  <si>
    <t>Che cosa si intende per "empulia" e quale attività svolge, secondo la presente disciplina?</t>
  </si>
  <si>
    <t>EmPULIA è la piattaforma telematica della Centrale di Acquisto territoriale della Regione Puglia, gestita da InnovaPuglia quale Soggetto Aggregatore; secondo la presente disciplina centralizza e razionalizza gli acquisti pubblici regionali offrendo servizi per la gestione delle convenzioni e del negozio elettronico, del sistema dinamico di acquisizione, dell'albo online dei fornitori, della gestione telematica delle gare (aperte, ristrette e negoziate) e della pubblicazione/archiviazione delle gare tradizionali.</t>
  </si>
  <si>
    <t>Chi ha approvato la Versione 1.7 della disciplina e in quale data?</t>
  </si>
  <si>
    <t>Non è possibile rispondere: i risultati della ricerca forniti non contengono l'informazione su chi ha approvato la Versione 1.7 della disciplina né la data di approvazione.</t>
  </si>
  <si>
    <t>Chi è responsabile del rispetto della normativa sugli acquisti della pubblica amministrazione quando si utilizza la piattaforma Empulia?</t>
  </si>
  <si>
    <t>La stazione appaltante (l'amministrazione utilizzatrice), tramite il suo Punto Ordinante.</t>
  </si>
  <si>
    <t>In quali condizioni la piattaforma provvede all'esclusione automatica delle offerte anomale?</t>
  </si>
  <si>
    <t>La piattaforma esclude automaticamente le offerte anomale solo quando si tratta di aggiudicazioni al criterio del prezzo più basso per contratti di lavori o servizi di importo inferiore alle soglie comunitarie senza certo interesse transfrontaliero, il numero delle offerte ammesse è pari o superiore a cinque e l’esclusione è prevista negli atti di gara (lex specialis).</t>
  </si>
  <si>
    <t>Quali comandi sono presenti nella toolbar per la gestione dei riscontri e a cosa servono?</t>
  </si>
  <si>
    <t>Non posso fornire l’elenco perché nei risultati di ricerca web forniti non ci sono informazioni sulla toolbar per la gestione dei riscontri; per rispondere servirebbero la documentazione ufficiale (guida utente EmPULIA) o i risultati di ricerca specifici che elenchino i comandi e le relative funzioni.</t>
  </si>
  <si>
    <t>Cosa bisogna fare se, al caricamento del file .xlsx, la compilazione della tabella elenco prodotti presenta anomalie?</t>
  </si>
  <si>
    <t>Scarica il file/registro degli errori fornito dalla piattaforma, correggi nel .xlsx le anomalie segnalate rispettando il modello e le regole di validazione (campi obbligatori, formati, decimali, nessuna cella unita o formule non consentite), salva e ricarica il file.</t>
  </si>
  <si>
    <t>Cosa comporta la presa in carico, secondo la regola tecnica di ANAC?</t>
  </si>
  <si>
    <t>La presa in carico, secondo la regola tecnica ANAC, è l'accettazione formale da parte della piattaforma di approvvigionamento digitale/Banca dati: da quel momento il fascicolo di gara viene registrato e gestito telematicamente (con acquisizione del CIG tramite lo scambio con la BDNCP), la piattaforma assume la responsabilità della gestione, conservazione e tracciabilità degli atti ed i dati non possono essere modificati se non con operazioni tracciate e previste dalla procedura.</t>
  </si>
  <si>
    <t>Quali sono le forme associate previste per la partecipazione ad una procedura, indicate nel manuale?</t>
  </si>
  <si>
    <t>Impresa singola; Raggruppamento/Associazione temporanea di imprese (RTI/ATI) con indicazione di mandataria/mandante; Consorzio (anche consorzio stabile/consortile); Contratto di rete; Gruppo Europeo di Interesse Economico (GEIE).</t>
  </si>
  <si>
    <t>Quali fasi compongono, di norma, il ciclo di vita digitale dei contratti pubblici secondo l'art. 21, comma 1?</t>
  </si>
  <si>
    <t>Programmazione, progettazione, pubblicazione, affidamento ed esecuzione.</t>
  </si>
  <si>
    <t>Qual è la durata massima degli accordi quadro prevista dall'articolo 59?</t>
  </si>
  <si>
    <t>Non superiore a quattro anni, salvo casi eccezionali debitamente motivati.</t>
  </si>
  <si>
    <t>Secondo l'articolo 29, attraverso quali canali devono essere effettuate le comunicazioni e gli scambi di informazioni previsti dal codice?</t>
  </si>
  <si>
    <t>Mediante strumenti elettronici conformi al Codice dell'Amministrazione Digitale, ossia mezzi telematici comunemente disponibili e non discriminatori (ad es. PEC).</t>
  </si>
  <si>
    <t>Quali sono le due modalità per visualizzare la comunicazione relativa all'esito della richiesta di abilitazione dopo aver effettuato l'accesso all'area riservata?</t>
  </si>
  <si>
    <t>Nella sezione "Comunicazioni" (messaggi interni dell'Area Riservata) e tramite la PEC inviata alla casella certificata registrata.</t>
  </si>
  <si>
    <t>Se non è stata contestata formalmente e motivatamente la fondatezza della richiesta entro il termine di cui al terzo periodo, cosa fa la stazione appaltante in corso d’opera riguardo alle retribuzioni arretrate?</t>
  </si>
  <si>
    <t>Provvede a operare una trattenuta sulle somme dovute al soggetto aggiudicatario, per un importo corrispondente alle retribuzioni arretrate.</t>
  </si>
  <si>
    <t>Qual è la differenza principale tra "avviso aperto" e "avviso con destinatari" nella fase preliminare dell'affidamento diretto?</t>
  </si>
  <si>
    <t>L’avviso aperto è pubblicato in modo generale e rivolto a tutti gli operatori interessati (aperto alla ricezione di offerte), mentre l’avviso con destinatari è inviato/indirizzato solo a specifici operatori previamente selezionati dalla stazione appaltante.</t>
  </si>
  <si>
    <t>Secondo l'art. 155, comma 3, con quali modalità può essere indetta la gara?</t>
  </si>
  <si>
    <t>Secondo l'art. 155, comma 3, la gara può essere indetta per via telematica mediante apposite piattaforme informatiche (ovvero, nei casi previsti, con modalità tradizionale cartacea).</t>
  </si>
  <si>
    <t>Se un'impresa è qualificata nella categoria generale OG11, deve selezionare anche le categorie OS3, OS28 e OS30 sulla piattaforma EmPULIA per essere invitata alle procedure relative a quelle categorie specialistiche?</t>
  </si>
  <si>
    <t>No. Le categorie OS3, OS28 e OS30 sono ricomprese nella OG11, quindi non è necessario iscriverle separatamente su EmPULIA per essere invitati, purché la qualificazione OG11 sia attiva, comprenda le classifiche e gli importi adeguati e sia correttamente dichiarata sulla piattaforma.</t>
  </si>
  <si>
    <t>La piattaforma EmPULIA consente a un operatore economico di accedere simultaneamente da due postazioni autenticandosi con le stesse credenziali?</t>
  </si>
  <si>
    <t>Nel caso di aggiudicazione con il criterio dell'offerta economicamente più vantaggiosa, il RUP può partecipare alla commissione giudicatrice e può ricoprire la carica di presidente?</t>
  </si>
  <si>
    <t>Può partecipare solo nei limiti previsti dalla normativa (per le gare sotto soglia e, per quelle sopra soglia, soltanto se è dirigente della stazione appaltante), ma non può ricoprire la carica di presidente nelle procedure valutative con criterio dell'offerta economicamente più vantaggiosa poiché ciò implicherebbe esercizio di poteri valutativi a lui preclusi.</t>
  </si>
  <si>
    <t>Chi è responsabile dell'esecuzione e della regolarità delle procedure di gara telematiche effettuate tramite la piattaforma empulia?</t>
  </si>
  <si>
    <t>La responsabilità spetta alla stazione appaltante aderente (l'ente che indice la gara), nella persona del Responsabile Unico del Procedimento (RUP).</t>
  </si>
  <si>
    <t>Entro quanti giorni l'ANAC deve esprimere un parere, su iniziativa della stazione appaltante o di altre parti, su questioni insorte durante lo svolgimento delle procedure di gara?</t>
  </si>
  <si>
    <t>Entro 20 giorni.</t>
  </si>
  <si>
    <t>Quali file deve scaricare, firmare digitalmente e riallegare l'operatore economico per poter abilitare il comando "conferma" di una convenzione?</t>
  </si>
  <si>
    <t>Deve scaricare il file della Convenzione e il relativo Modulo/Atto di Adesione (allegato di accettazione), firmarli digitalmente e riallegarli.</t>
  </si>
  <si>
    <t>Cosa indica la spunta nella colonna TEC?</t>
  </si>
  <si>
    <t>Indica che è presente e/o ammessa l’offerta tecnica (cioè l’involucro/documentazione tecnica) nella procedura.</t>
  </si>
  <si>
    <t>Chi è responsabile della predisposizione della documentazione e del rispetto delle disposizioni nelle procedure di gara telematiche effettuate tramite la piattaforma empulia?</t>
  </si>
  <si>
    <t>La stazione appaltante (l'amministrazione aggiudicatrice titolare della procedura).</t>
  </si>
  <si>
    <t>Quali sono le soglie percentuali di variazione dei costi che attivano le clausole di revisione prezzi per i contratti di lavori e per i contratti di servizi e forniture, e quale percentuale della variazione eccedente viene corrisposta?</t>
  </si>
  <si>
    <t>Per i contratti di lavori la revisione prezzi si attiva se la variazione dei costi supera il 3%; per i contratti di servizi e forniture la soglia è del 5%; della variazione eccedente viene corrisposto l’80% (ovvero il 90% per i contratti con offerte presentate entro il 31/12/2021).</t>
  </si>
  <si>
    <t>Quale comando della toolbar si deve cliccare per rifiutare (annullare) il DGUE ricevuto se non è stato compilato correttamente?</t>
  </si>
  <si>
    <t>Cliccare il comando "Rifiuta".</t>
  </si>
  <si>
    <t>La piattaforma EmPULIA consente l'accesso simultaneo con le stesse credenziali da due postazioni diverse?</t>
  </si>
  <si>
    <t>No, EmPULIA non consente l'accesso simultaneo con le stesse credenziali da due postazioni diverse.</t>
  </si>
  <si>
    <t>In caso un’impresa invii più offerte telematiche entro il termine previsto, quale offerta sarà presa in considerazione?</t>
  </si>
  <si>
    <t>Sarà presa in considerazione l'ultima offerta inviata e regolarmente ricevuta/registrata dal sistema entro il termine di presentazione.</t>
  </si>
  <si>
    <t>Entro quanti giorni lavorativi dalla presentazione dell’istanza completa il soggetto aggregatore deve effettuare l’istruttoria per l’iscrizione all’albo?</t>
  </si>
  <si>
    <t>Entro 15 giorni lavorativi.</t>
  </si>
  <si>
    <t>Secondo l'art. 82, in caso di contrasto tra le disposizioni contenute nei documenti di gara elencati al comma 1, quale documento prevale?</t>
  </si>
  <si>
    <t>Prevale il documento indicato per primo nell'elencazione del comma 1: il bando (o avviso) di gara.</t>
  </si>
  <si>
    <t>Cosa accade alle offerte telematiche pervenute oltre il termine previsto dalla lettera d’invito sulla piattaforma empulia?</t>
  </si>
  <si>
    <t>Le offerte pervenute oltre il termine sono escluse e non vengono aperte né valutate, salvo che la stazione appaltante disponga formalmente una proroga o accerti e comunichi un comprovato malfunzionamento della piattaforma che giustifichi la loro ammissione.</t>
  </si>
  <si>
    <t>Quali informazioni vengono controllate automaticamente al momento dell'invio della nuova istanza per il rinnovo dell'iscrizione?</t>
  </si>
  <si>
    <t>Vengono controllate automaticamente la forma di indizione della gara (avviso relativo al sistema di qualificazione, avviso periodico, avviso di gara) e le date e i riferimenti della pubblicazione.</t>
  </si>
  <si>
    <t>Chi è responsabile dell’organizzazione e della regolarità delle procedure di gara telematiche effettuate tramite la piattaforma empulia?</t>
  </si>
  <si>
    <t>L'ente appaltante (l'amministrazione/ente aderente che indice la gara).</t>
  </si>
  <si>
    <t>Secondo l'art. 208, quale criterio viene adottato per l'aggiudicazione dei servizi globali su beni immobili?</t>
  </si>
  <si>
    <t>L'aggiudicazione avviene secondo il criterio dell'offerta economicamente più vantaggiosa.</t>
  </si>
  <si>
    <t>Quali sono le quattro tabelle che consentono la configurazione del modello di offerta?</t>
  </si>
  <si>
    <t>Tabella Intestazione (dati generali), Tabella Componenti Economiche (voci e prezzi), Tabella Parametri Tecnici (specifiche e elementi di valutazione tecnica), Tabella Allegati e Documenti (documentazione richiesta).</t>
  </si>
  <si>
    <t>Quali informazioni vengono mostrate nella sezione "informazioni amministrative" della seduta virtuale?</t>
  </si>
  <si>
    <t>La sezione "Informazioni amministrative" riporta per ciascun operatore economico l'esito della valutazione della busta amministrativa: elenco dei partecipanti ammessi o esclusi, motivazione dell'esclusione e eventuali annotazioni/riferimenti documentali e temporali relativi all'apertura e verifica dei documenti amministrativi.</t>
  </si>
  <si>
    <t>Quali sono i tre esiti che l'agenzia può comunicare dopo la valutazione della richiesta di abilitazione allo SDA?</t>
  </si>
  <si>
    <t>Ammesso (abilitazione), Ammesso con riserva (abilitazione subordinata a integrazione/aggiornamento documentale), Non ammesso (esclusione).</t>
  </si>
  <si>
    <t>Chi è responsabile della direzione e dell'esclusiva responsabilità delle procedure di gare telematiche effettuate tramite la piattaforma empulia?</t>
  </si>
  <si>
    <t>La stazione appaltante (l'amministrazione/ente che indice la gara).</t>
  </si>
  <si>
    <t>Secondo l'art. 148, comma 2, quali due condizioni devono concorrere perché l'alimentazione con acqua potabile di reti fisse non sia considerata un'attività di cui al comma 1?</t>
  </si>
  <si>
    <t>Che l'alimentazione sia effettuata da un'impresa pubblica o da un soggetto titolare di diritti e che le reti fisse forniscano un servizio al pubblico.</t>
  </si>
  <si>
    <t>La piattaforma EmPULIA permette l'accesso simultaneo con le stesse credenziali da due postazioni diverse? Se no, cosa succede quando si prova ad accedere?</t>
  </si>
  <si>
    <t>No. EmPULIA non consente l’accesso simultaneo con le stesse credenziali: effettuando un nuovo login la piattaforma invalida/termina automaticamente la sessione precedente, disconnettendo la prima postazione (comparirà il relativo avviso di sessione chiusa).</t>
  </si>
  <si>
    <t>Quali sono gli stati che può assumere una richiesta di accesso al FVOE e cosa indica ciascuno di essi?</t>
  </si>
  <si>
    <t>Gli stati principali che può assumere una richiesta di accesso al FVOE e il relativo significato sono:
- Inviata / In attesa: la richiesta è stata inoltrata e resta in attesa di risposta/autorizzazione da parte dell’Operatore Economico o del sistema ANAC.  
- Accettata: l’Operatore Economico (o il sistema esterno ANAC) ha autorizzato l’accesso; viene inviata una e‑mail al RUP e l’utente può accedere ai documenti del fascicolo (vedi FIGURA 10).  
- Rifiutata / Respinta: l’Operatore Economico o l’autorità competente ha negato l’autorizzazione all’accesso.  
- Annullata / Revocata: la richiesta è stata cancellata o l’autorizzazione precedentemente concessa è stata revocata dalla stazione appaltante o dall’Operatore Economico.  
- Scaduta: il periodo utile per ottenere l’autorizzazione è terminato senza risposta e la richiesta non è più valida.
(Questi sono gli stati tipici del workflow di richiesta di accesso al FVOE e il significato associato a ciascuno.)</t>
  </si>
  <si>
    <t>Quali sono i possibili stati di un contratto e cosa indica ciascuno?</t>
  </si>
  <si>
    <t>Bozza: contratto creato ma non definitivo né pubblicato; ancora modificabile.  
Pubblicato: contratto reso disponibile per consultazione/trasparenza (ad es. sul portale).  
Aggiudicato: l’appalto è stato assegnato a un operatore ma la stipula non è ancora avvenuta.  
Stipulato/Contrattualizzato: il contratto è stato firmato dalle parti; è formalmente costituito.  
Efficace/In esecuzione/Attivo: il contratto produce effetti e le prestazioni (lavori, forniture, servizi) sono in corso.  
Sospeso: l’esecuzione è temporaneamente interrotta per ordini amministrativi, contenziosi o cause di forza maggiore.  
Risolto/Rescissione: il contratto è terminato anticipatamente (per inadempimento o risoluzione concordata); cessano gli obblighi futuri.  
Annullato/Nullità/Revocato: il contratto è privo di effetti per vizi formali o illegittimità; viene cancellato retroattivamente o preventivamente.  
Scaduto/Completato/Concluso: tutte le prestazioni sono state eseguite e gli obblighi contrattuali si sono esauriti.  
Liquidato/Chiuso: pagamenti e rendicontazione finali completati; il contratto è archiviato.</t>
  </si>
  <si>
    <t>Entro quanti giorni lavorativi il soggetto aggregatore deve effettuare l'istruttoria dell'istanza di iscrizione all'albo dalla data di presentazione dell'istanza completa degli allegati?</t>
  </si>
  <si>
    <t>20 giorni lavorativi</t>
  </si>
  <si>
    <t>Quale requisito di registrazione è richiesto per gli operatori economici che partecipano in RTI, avvalimento o consorzio?</t>
  </si>
  <si>
    <t>Ogni operatore economico partecipante (mandante, ausiliario o esecutore) deve essere registrato sulla piattaforma EmPULIA.</t>
  </si>
  <si>
    <t>Chi è responsabile del rispetto della normativa sugli acquisti della pubblica amministrazione quando gli utenti utilizzano la piattaforma Empulia?</t>
  </si>
  <si>
    <t>La stazione appaltante (l'ente aderente alla piattaforma), tramite i suoi responsabili interni (in particolare il RUP / Punto Ordinante / Responsabile dei Fabbisogni).</t>
  </si>
  <si>
    <t>Secondo l’art. 105, quali elementi sono disciplinati nell’allegato II.8?</t>
  </si>
  <si>
    <t>I rapporti di prova, le certificazioni (della qualità) e altri mezzi di prova, il registro online dei certificati e i costi del ciclo di vita.</t>
  </si>
  <si>
    <t>Quando viene svolta la manutenzione ordinaria della piattaforma Empulia?</t>
  </si>
  <si>
    <t>La manutenzione ordinaria della piattaforma EmPULIA viene effettuata il venerdì.</t>
  </si>
  <si>
    <t>Quali funzioni svolgono, rispettivamente, il disciplinare di gara e il capitolato speciale?</t>
  </si>
  <si>
    <t>Il disciplinare di gara stabilisce le regole procedurali della selezione (requisiti di partecipazione, termini, modalità di presentazione e valutazione delle offerte, criteri di aggiudicazione) per garantire trasparenza e parità di trattamento; il capitolato speciale (o tecnico) definisce le specifiche tecniche e prestazionali, le modalità di esecuzione, i requisiti qualitativi, i controlli e gli obblighi esecutivi dell’appalto.</t>
  </si>
  <si>
    <t>Quali indicazioni devono contenere i documenti di gara (o, in caso di dialogo competitivo, il bando o il documento descrittivo) riguardo ai criteri di valutazione e alla loro ponderazione?</t>
  </si>
  <si>
    <t>I documenti di gara (o, nel dialogo competitivo, il bando o il documento descrittivo) devono indicare esplicitamente i criteri di valutazione, eventuali criteri e sottocriteri, la relativa ponderazione (espresso in punteggi o percentuali o ordine di priorità), le modalità e i parametri di attribuzione dei punteggi (metodo di valutazione) e le eventuali soglie/minimi per l'ammissione o l'aggiudicazione.</t>
  </si>
  <si>
    <t>Quale comando bisogna cliccare per richiedere la compilazione del DGUE da parte dell'operatore economico mandante, ausiliario o esecutore?</t>
  </si>
  <si>
    <t>Richiedi compilazione DGUE</t>
  </si>
  <si>
    <t>Chi è responsabile della predisposizione della documentazione e della regolarità delle procedure di gara effettuate tramite la piattaforma empulia?</t>
  </si>
  <si>
    <t>Il Responsabile Unico del Procedimento (RUP)</t>
  </si>
  <si>
    <t>Secondo l'art. 174, quali caratteristiche congiunte devono sussistere per qualificare un'operazione come partenariato pubblico-privato?</t>
  </si>
  <si>
    <t>Secondo l'art. 174, il partenariato pubblico‑privato è un'operazione economica in cui ricorrono congiuntamente: (i) un rapporto contrattuale tra un ente concedente e uno o più operatori economici; (ii) l'affidamento al soggetto privato della progettazione, realizzazione, finanziamento e gestione (o di una parte rilevante di tali fasi) di opere o servizi; (iii) l'assunzione da parte del privato di una quota significativa dei rischi connessi all'operazione; (iv) la remunerazione del partner privato correlata alla prestazione e/o ai ricavi derivanti dall'esercizio dell'opera o servizio.</t>
  </si>
  <si>
    <t>Secondo l'art. 227, in che modo devono essere attuati gli interventi normativi che incidono sulle disposizioni del codice e dei suoi allegati?</t>
  </si>
  <si>
    <t>Devono essere attuati mediante specifica disposizione che modifichi espressamente il codice e i suoi allegati.</t>
  </si>
  <si>
    <t>Qual è la differenza nell'azione del comando "invio" se l'utente collegato è il RUP rispetto a quando è un punto istruttore?</t>
  </si>
  <si>
    <t>Se l'utente è RUP, "invio" convalida e inoltra definitivamente la pratica al passo successivo del workflow (es. approvazione/pubblicazione); se è Punto Istruttore, "invio" trasmette la pratica al RUP per verifica/convalida.</t>
  </si>
  <si>
    <t>Al momento dell'invio della richiesta di abilitazione, quale sarà la nuova fase del documento e cosa accade al campo "utente in carico"?</t>
  </si>
  <si>
    <t>La fase passa a "Inviata" e il campo "utente in carico" viene azzerato (rimane vuoto).</t>
  </si>
  <si>
    <t>Quali utenti, secondo il manuale, possono creare un concorso e quali possono approvarlo e pubblicarlo sulla piattaforma empulia?</t>
  </si>
  <si>
    <t>Secondo il manuale, il concorso può essere creato dal Punto Istruttore (PI) e può essere approvato e pubblicato dal RUP (Responsabile Unico del Procedimento).</t>
  </si>
  <si>
    <t>Per quale motivo i partecipanti devono anonimizzare e pulire i metadati dei file PDF caricati nella busta documentazione tecnica?</t>
  </si>
  <si>
    <t>Per evitare che informazioni nascoste nei metadati (autore, organizzazione, percorsi, timestamp, commenti ecc.) rivelino l'identità dell'offerente e compromettano la segretezza dell'offerta e la parità di trattamento nella valutazione.</t>
  </si>
  <si>
    <t>Quale comando sulla toolbar bisogna cliccare per inviare la risposta alla comunicazione?</t>
  </si>
  <si>
    <t>Invio</t>
  </si>
  <si>
    <t>Quali sono le modalità per consultare l'esito della richiesta di abilitazione allo SDA dopo aver effettuato l'accesso all'area riservata?</t>
  </si>
  <si>
    <t>Dopo l'accesso all'Area Riservata, vai nella sezione "Le mie richieste" (o "Richieste di abilitazione"/"SDA" a seconda dell'etichetta) e apri la pratica per visualizzare l'esito; l'esito viene inoltre notificato via PEC e visualizzato nella sezione "Messaggi/Comunicazioni" dell'area riservata.</t>
  </si>
  <si>
    <t>Quali campi sono obbligatori da completare nel modulo "informazioni sulla partecipazione ai lotti"?</t>
  </si>
  <si>
    <t>I campi obbligatori sono: "L’OE può inserire offerta per" (selezionare l’opzione dal menù a tendina); "Massimo numero di lotti" (indicare valore numerico); "Massimo numero di lotti aggiudicabili" (indicare valore numerico).</t>
  </si>
  <si>
    <t>Cosa succede alle offerte telematiche pervenute oltre i termini previsti dalla lettera d’invito?</t>
  </si>
  <si>
    <t>Le offerte telematiche pervenute oltre i termini sono inammissibili e non vengono considerate (la piattaforma impedisce l'invio oltre la scadenza); possono essere riammesse solo se è comprovato un malfunzionamento della piattaforma e la stazione appaltante dispone la sospensione/proroga.</t>
  </si>
  <si>
    <t>È obbligatorio utilizzare la firma digitale per il corretto caricamento e l'invio telematico dell'offerta su EmPULIA?</t>
  </si>
  <si>
    <t>Sì — per il caricamento e l'invio telematico delle offerte su EmPULIA è generalmente obbligatorio l'uso della firma elettronica qualificata (firma digitale); eventuali alternative sono ammesse solo se espressamente previste dal disciplinare di gara.</t>
  </si>
  <si>
    <t>Quali sono i passaggi che deve eseguire il referente convenzione dell'operatore economico per confermare una convenzione dopo averla ricevuta?</t>
  </si>
  <si>
    <t>1) Accedere all'Area riservata di EmPULIA (SPID/CIE/credenziali).  
2) Dalla Lista Attività cliccare sull'oggetto della convenzione ricevuta oppure nel menu selezionare Contratti → Elenco Contratti.  
3) Aprire il dettaglio della convenzione e scaricare/verificare tutta la documentazione allegata.  
4) Apporre la firma digitale sul testo della convenzione (o usare la funzione di “Stipula/Accettazione” prevista dalla piattaforma).  
5) Caricare il contratto firmato (se richiesto) e confermare/inviare la convenzione tramite il pulsante di Accetta/Conferma/Stipula.  
6) Verificare l’avvenuta trasmissione e lo stato aggiornato in Elenco Contratti e conservare copia firmata.</t>
  </si>
  <si>
    <t>Chi è responsabile delle procedure di gare telematiche effettuate tramite la piattaforma Empulia?</t>
  </si>
  <si>
    <t>L'ente appaltante (la stazione appaltante) che indice la gara.</t>
  </si>
  <si>
    <t>Secondo l'articolo 159, a partire da quando i documenti di gara devono essere resi disponibili in forma digitale e quali caratteristiche deve avere tale accesso?</t>
  </si>
  <si>
    <t>A decorrere dalla data di pubblicazione dell’avviso o da quella di invio dell’invito a presentare offerte; i documenti devono essere resi disponibili in formato digitale su piattaforma/portale accessibile in modo libero e gratuito, con possibilità di consultazione e download senza necessità di istanze di accesso agli atti, per l’intera durata della procedura, salvo limitazioni necessarie per la tutela della riservatezza e dei segreti tecnici/commerciali.</t>
  </si>
  <si>
    <t>Quali passaggi deve eseguire l'operatore economico per poter confermare un contratto sulla piattaforma Empulia?</t>
  </si>
  <si>
    <t>1) Accedere all'Area riservata della piattaforma (autenticazione); 2) aprire il Contratto inviato — o cliccando sull’Oggetto del contratto nella Lista Attività mostrata all’accesso, oppure passando al gruppo funzionale "Contratti" e selezionando "Elenco Contratti"; 3) visualizzare e verificare la documentazione del contratto; 4) procedere alla stipula/conferma sul portale firmando digitalmente e inviando la conferma tramite la funzione di stipula disponibile.</t>
  </si>
  <si>
    <t>In quali due categorie sono classificate le formule messe a disposizione dalla piattaforma empulia?</t>
  </si>
  <si>
    <t>Stazioni Appaltanti e Operatori Economici.</t>
  </si>
  <si>
    <t>Quali sono i requisiti minimi del browser necessari per utilizzare correttamente il Portale EmPULIA?</t>
  </si>
  <si>
    <t>Browser aggiornato (ultime versioni di Chrome, Firefox, Edge o Safari) con JavaScript e cookie abilitati, pop‑up consentiti, supporto TLS 1.2+, lettore PDF installato e possibilità di caricare file firmati (CAdES .p7m e PAdES .pdf).</t>
  </si>
  <si>
    <t>Cosa succede al peso del punteggio ereditato nella tabella dei criteri di valutazione tecnica se si escludono uno o più criteri ereditati sul rilancio competitivo?</t>
  </si>
  <si>
    <t>Viene aggiornato automaticamente: escludendo uno o più criteri ereditati, il sistema ricalcola e ridistribuisce il peso del punteggio ereditato nella tabella dei criteri di valutazione tecnica del rilancio competitivo.</t>
  </si>
  <si>
    <t>Un'impresa qualificata nella categoria generale OG11 viene automaticamente iscritta alle categorie speciali OS3, OS28 e OS30 sulla piattaforma EmPULIA?</t>
  </si>
  <si>
    <t>Secondo l'art. 197, chi è normalmente tenuto a sopportare il rischio del mancato o ritardato rilascio di autorizzazioni o altri atti amministrativi incidenti sul compimento o sulla gestione dell’opera?</t>
  </si>
  <si>
    <t>La stazione appaltante.</t>
  </si>
  <si>
    <t>Domanda: Cosa deve contenere l'offerta se i soggetti partecipanti a un raggruppamento temporaneo o a un consorzio ordinario non sono ancora costituiti?</t>
  </si>
  <si>
    <t>L'offerta deve contenere la dichiarazione sottoscritta da tutti i soggetti che costituiranno il raggruppamento/consorzio con l'impegno a costituirsi e il mandato speciale (collettivo) con rappresentanza conferito al futuro capogruppo, con l'indicazione dei ruoli/quote e dei requisiti posseduti da ciascun partecipante.</t>
  </si>
  <si>
    <t>Quali strumenti di autenticazione possono essere utilizzati per accedere all'area riservata, oltre alla terna di credenziali?</t>
  </si>
  <si>
    <t>La firma digitale (modalità CAdES .p7m o PAdES .pdf, ad es. tramite CNS/CIE).</t>
  </si>
  <si>
    <t>Chi è responsabile, in via esclusiva, delle eventuali violazioni della normativa sugli acquisti della pubblica amministrazione commesse tramite l'utilizzo della piattaforma Empulia?</t>
  </si>
  <si>
    <t>La stazione appaltante (l'ente aderente).</t>
  </si>
  <si>
    <t>Chi è responsabile della predisposizione della documentazione e del rispetto delle disposizioni legislative per le gare telematiche svolte tramite la piattaforma empulia?</t>
  </si>
  <si>
    <t>La stazione appaltante, tramite il suo Responsabile Unico del Procedimento (RUP).</t>
  </si>
  <si>
    <t>Secondo la disciplina, per svolgere quali attività della legge regionale n. 37 del 1 agosto 2014 è utilizzato il servizio telematico Empulia?</t>
  </si>
  <si>
    <t>Il servizio telematico EmPULIA è utilizzato per l'esercizio, da parte del Soggetto Aggregatore (InnovaPuglia), delle funzioni previste dalla L.R. n.37/2014: gestione del sistema regionale delle convenzioni (negozio elettronico), del sistema dinamico di acquisizione, dell'Albo fornitori on‑line, della gestione telematica delle procedure di gara (aperte, ristrette e negoziate, sopra e sotto soglia) e per la pubblicazione/archiviazione delle gare in modalità tradizionale.</t>
  </si>
  <si>
    <t>Secondo l'art. 170, comma 2 del testo, oltre quale percentuale del valore totale dei prodotti originari di Paesi terzi un'offerta può essere respinta?</t>
  </si>
  <si>
    <t>Entro quanti giorni, al massimo, deve concludersi il dibattito pubblico dalla pubblicazione prevista al comma 3?</t>
  </si>
  <si>
    <t>120 giorni</t>
  </si>
  <si>
    <t>Quali sono i passaggi principali che un utente migrato deve seguire per completare la profilazione sulla nuova piattaforma empulia?</t>
  </si>
  <si>
    <t>1) Accedere alla piattaforma con la terna di chiavi ricevute (codice di accesso, nome utente e password provvisoria);  
2) Personalizzare la password al primo accesso (obbligatorio);  
3) completare la registrazione/profilazione inserendo i dati anagrafici/aziendali e dei legali rappresentanti richiesti;  
4) caricare i documenti obbligatori (visure, certificazioni, procura, PEC, firma digitale se prevista) e configurare PEC/firma per l’uso telematico;  
5) selezionare/attivare le funzionalità desiderate (iscrizione all’Albo, negozio elettronico, gare, SDA ecc.) e accettare le condizioni/discipline;  
6) inviare la pratica e attendere la validazione/attivazione da parte del Soggetto Aggregatore.</t>
  </si>
  <si>
    <t>Non sono ammesse: le offerte pervenute oltre il termine non vengono accettate e sono escluse dalla procedura (la piattaforma telematica di norma impedisce l'invio oltre la scadenza).</t>
  </si>
  <si>
    <t>Secondo la formula 2.10 (massimo spread a scalino), quale punteggio P viene assegnato se (vmax off − voff) * α ≥ pmax?</t>
  </si>
  <si>
    <t>P = 0</t>
  </si>
  <si>
    <t>Chi assegna l'abilitazione per poter accedere alle funzionalità dei rilanci competitivi descritte nel manuale?</t>
  </si>
  <si>
    <t>L'abilitazione viene assegnata dall'Amministratore dell'Ente (l'Amministratore della Stazione Appaltante).</t>
  </si>
  <si>
    <t>Qual è la dimensione massima consentita per ciascun file caricato nel sistema EmPULIA?</t>
  </si>
  <si>
    <t>50 MB</t>
  </si>
  <si>
    <t>In quali casi, secondo l'art. 211, si applicano le disposizioni dell'articolo 210 ai contratti di servizi e di fornitura continuativa o periodica di beni?</t>
  </si>
  <si>
    <t>Le disposizioni dell'art. 210 si applicano, in quanto compatibili, ai contratti di servizi e alle forniture continuative o periodiche di beni quando si tratta appunto di contratti a carattere continuativo o periodico; l'art. 211 estende quindi la disciplina dell'art. 210 a tali casi.</t>
  </si>
  <si>
    <t>Qual è il numero minimo di candidati che la stazione appaltante non può invitare a presentare un'offerta nelle procedure ristrette?</t>
  </si>
  <si>
    <t>Secondo l’art. 96, comma 6, quali prove e quali misure deve fornire un operatore economico per dimostrare la propria affidabilità e quindi evitare l’esclusione dalla procedura d’appalto?</t>
  </si>
  <si>
    <t>Ai sensi dell’art. 96, comma 6, l’operatore economico può evitare l’esclusione dimostrando, con idonea documentazione probatoria, di aver adottato misure efficaci di "self‑cleaning", in particolare il risarcimento o il pagamento del danno/penalità eventualmente dovuti, la cessazione del comportamento illecito, la collaborazione con le autorità competenti, l’adozione e l’effettiva attuazione di misure organizzative, procedurali e di controllo interno (es. modelli di organizzazione/gestione, procedure di compliance, codici deontologici), nonché l’irrogazione di sanzioni disciplinari verso i responsabili; tali fatti devono essere comprovati tramite sentenze/atti, ricevute/quietanze di pagamento, rapporti di audit o verifiche, certificazioni e altra documentazione che dimostri concretamente la prevenzione del ripetersi dell’illecito.</t>
  </si>
  <si>
    <t>Quando la richiesta di abilitazione viene confermata, da quale fase passa a quale fase?</t>
  </si>
  <si>
    <t>Da fase "In istruttoria" a fase "Confermata".</t>
  </si>
  <si>
    <t>Per quali tipologie di contratti le stazioni appaltanti e gli enti concedenti devono inserire specifiche clausole sociali nei bandi di gara, avvisi e inviti?</t>
  </si>
  <si>
    <t>Nei contratti di appalto di lavori, nei contratti di appalto di servizi (diversi da quelli di natura intellettuale) e nei contratti di concessione.</t>
  </si>
  <si>
    <t>La piattaforma EmPULIA consente l'accesso simultaneo da due postazioni autenticandosi con le stesse credenziali?</t>
  </si>
  <si>
    <t>No — EmPULIA non consente accessi simultanei da due postazioni autenticandosi con le stesse credenziali.</t>
  </si>
  <si>
    <t>Chi ha la responsabilità esclusiva di predisporre la documentazione e garantire il rispetto delle disposizioni legislative per le gare telematiche effettuate tramite la piattaforma Empulia?</t>
  </si>
  <si>
    <t>La stazione appaltante (l'ente aderente che indice la gara).</t>
  </si>
  <si>
    <t>Cosa succede se si tenta di caricare un secondo file sulla stessa riga nella tabella "lista allegati"?</t>
  </si>
  <si>
    <t>Il secondo file sovrascrive il primo: il nuovo upload sostituisce il file precedentemente caricato sulla stessa riga.</t>
  </si>
  <si>
    <t>Secondo l'art. 202, quali sono le opzioni che il bando di gara può prevedere riguardo al trasferimento di immobili come corrispettivo e quale garanzia è richiesta se la proprietà viene trasferita prima della fine dei lavori?</t>
  </si>
  <si>
    <t>Il bando può prevedere il trasferimento della proprietà al termine dei lavori oppure il trasferimento in momento anteriore alla fine dei lavori; se la proprietà viene trasferita prima della fine dei lavori è richiesta una garanzia fideiussoria pari al valore dell'immobile.</t>
  </si>
  <si>
    <t>Secondo l'art. 5 riportato, in quali circostanze l'affidamento dell'operatore economico non si considera incolpevole?</t>
  </si>
  <si>
    <t>Quando sussistono dolo o colpa grave a carico dell’operatore, o vi siano dichiarazioni o documenti mendaci/alterati, violazioni gravi di obblighi contrattuali o di norme di legge (compresi reati penali, responsabilità per frode/corruzione o misure interdittive), ossia fatti che dimostrano la sua responsabilità e imputabilità nell’inadempimento.</t>
  </si>
  <si>
    <t>Secondo il comma 2 dell'art. 66, per quale periodo le società possono documentare il possesso dei requisiti economico‑finanziari e tecnico‑organizzativi facendo riferimento ai requisiti dei soci o dei direttori tecnici?</t>
  </si>
  <si>
    <t>Per un periodo di cinque anni dalla loro costituzione.</t>
  </si>
  <si>
    <t>Qual è il limite massimo previsto per l'immediata esecuzione dei lavori in caso di somma urgenza, secondo l'art. 140 del testo?</t>
  </si>
  <si>
    <t>150.000 euro.</t>
  </si>
  <si>
    <t>Qual è la soglia di rilevanza europea per gli appalti pubblici di lavori e per le concessioni indicata dall'art. 14?</t>
  </si>
  <si>
    <t>Quali sono le tre chiavi di accesso alla piattaforma empulia indicate nel testo?</t>
  </si>
  <si>
    <t>Codice di accesso, nome utente e password.</t>
  </si>
  <si>
    <t>Secondo l'art. 186, comma 2, quale quota percentuale dei contratti di lavori, servizi e forniture devono essere affidati mediante procedura ad evidenza pubblica dai titolari di concessioni già in essere di importo pari o superiore alla soglia di rilevanza europea?</t>
  </si>
  <si>
    <t>Chi è responsabile per il rispetto della normativa sugli acquisti della pubblica amministrazione e per eventuali condotte illecite compiute tramite la piattaforma Empulia?</t>
  </si>
  <si>
    <t>La stazione appaltante (cioè l'ente acquirente) — tramite il RUP e i suoi funzionari responsabili — è responsabile del rispetto della normativa sugli acquisti e di eventuali condotte illecite nelle procedure svolte tramite EmPULIA.</t>
  </si>
  <si>
    <t>Cosa succede se, entro il termine previsto, una stessa ditta invia più offerte telematiche sulla piattaforma Empulia?</t>
  </si>
  <si>
    <t>Viene considerata valida soltanto l’ultima offerta telematica, regolarmente firmata e inviata entro il termine; le precedenti submission vengono ignorate (l’operatore resta comunque responsabile di eventuali errori di invio).</t>
  </si>
  <si>
    <t>Quali passaggi deve seguire il referente dell'operatore economico per confermare una convenzione?</t>
  </si>
  <si>
    <t>1) Autenticarsi sulla piattaforma (SPID/CIE o credenziali aziendali) come referente dell’operatore economico; 2) accedere all’area “Convenzioni”/“Negozio elettronico” e selezionare la convenzione da confermare; 3) avviare l’azione di “Adesione/Conferma” della convenzione; 4) compilare il modulo richiesto e caricare la documentazione amministrativa obbligatoria; 5) apporre la firma digitale sui documenti e inviare la conferma; 6) conservare ricevuta/esito di avvenuta conferma (PEC o ricevuta di sistema).</t>
  </si>
  <si>
    <t>Quale codice devono indicare i bandi o gli avvisi di gara e tramite quale banca dati viene acquisito, secondo l'art. 83?</t>
  </si>
  <si>
    <t>Il codice identificativo di gara (CIG), acquisito tramite la Banca Dati Nazionale dei Contratti Pubblici (ANAC).</t>
  </si>
  <si>
    <t>Secondo l’articolo 21, comma 1, quali sono le fasi che, di norma, articolano il ciclo di vita digitale dei contratti pubblici?</t>
  </si>
  <si>
    <t>In quali casi le stazioni appaltanti devono applicare un trattamento non meno favorevole agli operatori economici dei Paesi terzi firmatari dell'Accordo sugli Appalti Pubblici (AAP)?</t>
  </si>
  <si>
    <t>Quando la procedura d'appalto rientra nell'ambito di applicazione dell'Accordo sugli Appalti Pubblici (AAP): nelle gare soggette all'AAP le stazioni appaltanti devono garantire agli operatori economici dei Paesi terzi firmatari un trattamento non meno favorevole rispetto a quello riservato agli operatori nazionali/UE.</t>
  </si>
  <si>
    <t>Quali sono le due modalità indicate per visualizzare il contenuto di una comunicazione?</t>
  </si>
  <si>
    <t>Tramite visualizzazione online direttamente nella piattaforma e tramite scaricamento dell'allegato (download, es. PDF).</t>
  </si>
  <si>
    <t>Quale percentuale delle risorse di cui al comma 2, escluse le risorse derivanti da finanziamenti europei o da altri finanziamenti a destinazione vincolata, è destinata ai fini di cui ai commi 6 e 7?</t>
  </si>
  <si>
    <t>Quali sono le due modalità previste per inviare una richiesta integrativa agli operatori economici durante l'esame della documentazione pervenuta?</t>
  </si>
  <si>
    <t>Tramite la piattaforma telematica EmPULIA (funzione di invio richieste/integrazioni agli operatori) oppure via PEC (posta elettronica certificata).</t>
  </si>
  <si>
    <t>Qual è la dimensione massima consentita per ciascun file da caricare nel sistema EmPULIA?</t>
  </si>
  <si>
    <t>Inferiore a 7 MByte.</t>
  </si>
  <si>
    <t>Cosa devono fare gli utenti in caso di malfunzionamento informatico della piattaforma Empulia?</t>
  </si>
  <si>
    <t>Immediatamente documentare l’anomalia (timestamp e screenshot delle operazioni e degli errori), contattare senza ritardo il supporto tecnico della piattaforma e il responsabile di gara tramite PEC e telefono segnalando il malfunzionamento, richiedere per iscritto la rimessione in termini per l’invio dell’offerta e l’esibizione dei file di log della piattaforma che attestino il guasto, e conservare tutte le ricevute e comunicazioni come prova.</t>
  </si>
  <si>
    <t>Come si richiede e come viene gestita la compilazione e il ricevimento del DGUE per un operatore economico mandante, ausiliario o esecutore, secondo il manuale?</t>
  </si>
  <si>
    <t>La mandataria richiede la compilazione del DGUE tramite il portale EmPULIA inviando una richiesta che genera automaticamente una e‑mail di sollecito ai mandanti/ausiliari/esecutori. L’operatore destinatario:
- effettua il Log‑in su EmPULIA e apre la “Lista Attività” o la funzione “Documenti Richiesti in carico” dove trova la comunicazione di compilazione;
- clicca su “Compila DGUE” per accedere al modulo e compila i campi richiesti (può usare “Salva” durante la compilazione, scaricare l’XML della Request, o “Copia da DGUE” per riutilizzare dati già presenti);
- se richiesto, allega il PDF del DGUE firmato; dopo l’allegato clicca “Chiudi” e poi “Invio” per inoltrare la risposta;
- il sistema mostra la conferma a video e invia automaticamente una notifica e‑mail alla mandataria.
Nel caso di ruolo di ausiliaria o di utilizzo di capacità di terzi, la capogruppo/appaltatore unico deve indicare nell’istanza le entità coinvolte; per lo scambio e le modalità dettagliate tra capogruppo e altri OE si rimanda al Manuale OE – Partecipazione in forma associata.</t>
  </si>
  <si>
    <t>Chi è responsabile della predisposizione della documentazione e del rispetto delle disposizioni legislative per le procedure di gara telematiche effettuate tramite la piattaforma empulia?</t>
  </si>
  <si>
    <t>Entro quanti giorni devono essere effettuati i pagamenti relativi agli acconti del corrispettivo nei contratti di lavori, a partire dall’adozione di ogni stato di avanzamento?</t>
  </si>
  <si>
    <t>Entro 30 giorni decorrenti dall'adozione di ogni stato di avanzamento.</t>
  </si>
  <si>
    <t>Quando si consiglia di avviare la specializzazione del DGUE e perché?</t>
  </si>
  <si>
    <t>Si consiglia di avviare la specializzazione del DGUE nella fase di predisposizione del bando, prima della sua pubblicazione, perché consente di compilare e validare per tempo tutti i campi obbligatori, evitare errori che impediscono la pubblicazione telematica e dare agli operatori economici il tempo necessario ad adeguare la documentazione garantendo la conformità alle linee guida e al nuovo Codice.</t>
  </si>
  <si>
    <t>Secondo l'articolo 9, in quali circostanze la parte svantaggiata ha diritto alla rinegoziazione delle condizioni contrattuali?</t>
  </si>
  <si>
    <t>Quando la parte contrattualmente svantaggiata non abbia volontariamente assunto il relativo rischio: in tal caso ha diritto, secondo buona fede, alla rinegoziazione delle condizioni contrattuali.</t>
  </si>
  <si>
    <t>Quali modalità di firma digitale supporta la piattaforma EmPULIA e in cosa differiscono?</t>
  </si>
  <si>
    <t>EmPULIA supporta le principali modalità di firma elettronica utilizzate negli appalti: firma elettronica qualificata (FEQ) e firme elettroniche avanzate/standard nei formati tecnici PAdES, CAdES e XAdES, applicabili sia con dispositivi locali (smart card / USB token / CNS) sia con firma remota/cloud (provider qualificati eIDAS). Differenze principali:
- FEQ vs firma avanzata/semplice: la FEQ ha pieno valore probatorio e presunzione di equivalenza alla firma autografa (regolamento eIDAS); le firme avanzate garantiscono autenticità e integrità ma non la stessa presunzione legale.  
- PAdES / CAdES / XAdES: sono formati diversi per tipi di documento — PAdES per PDF (firma incorporata), CAdES per documenti generici tramite container CMS (storia/estensioni .p7m), XAdES per documenti XML — la scelta incide su come la firma è incorporata/gestita e verificata.  
- Dispositivo locale vs firma remota: la chiave privata è conservata sul dispositivo dell’utente (smart card/token) o presso il prestatore di servizi di firma (firma remota); ciò influenza usabilità, portabilità e requisiti di autenticazione (es. OTP, PIN).  
- Marca temporale (timestamp): spesso applicata per la conservazione della validità nel tempo.  
Consiglio di verificare il disciplinare di gara per la tipologia richiesta (spesso è espressamente richiesta la FEQ) e di usare strumenti di verifica (es. Adobe Reader per PAdES, verificatori CAdES) prima del caricamento.</t>
  </si>
  <si>
    <t>Nella prima fase di un concorso di progettazione in due fasi, quale punteggio deve assegnare la commissione per ciascuna idea e a quale scopo viene utilizzato questo punteggio?</t>
  </si>
  <si>
    <t>La commissione deve attribuire a ciascuna idea un punteggio basato unicamente sulla valutazione della proposta progettuale; tale punteggio serve a graduare le idee per formare la graduatoria, selezionare le proposte ammesse alla seconda fase e individuare i vincitori cui eventualmente assegnare premi o incarichi.</t>
  </si>
  <si>
    <t>Chi può disporre la sospensione dell'esecuzione dei lavori e in quali circostanze, secondo l'art. 121?</t>
  </si>
  <si>
    <t>Ai sensi dell'art. 121 del Codice degli appalti, la sospensione dell'esecuzione dei lavori è disposta dal direttore dei lavori (o, ove previsto, dal direttore dell'esecuzione in luogo del direttore dei lavori) quando si verificano le ipotesi previste dall'articolo stesso, ossia per esigenze che impongono l'immediata interruzione dell'esecuzione (ad es. ragioni di sicurezza, difformità o vizi riscontrati, inosservanza di prescrizioni contrattuali o altre sopravvenute esigenze tecniche o amministrative che rendono necessaria la sospensione); le istanze di proroga dei termini connesse a tali sospensioni sono decise dal RUP, sentito il direttore dei lavori, entro trenta giorni.</t>
  </si>
  <si>
    <t>Chi è responsabile della direzione e della esclusiva responsabilità delle procedure di gare telematiche effettuate tramite la piattaforma empulia?</t>
  </si>
  <si>
    <t>La stazione appaltante (l'ente che indice la gara).</t>
  </si>
  <si>
    <t>Cosa indica la spunta nella colonna TEC e quali stati può assumere la colonna "stato offerta" dopo la valutazione tecnica?</t>
  </si>
  <si>
    <t>La spunta nella colonna TEC indica che l’offerta ha superato la verifica/valutazione tecnica (è tecnicamente valida). Dopo la valutazione tecnica lo "stato offerta" può risultare: "Ammessa" (o "Ammissibile") se supera la verifica; "Non ammessa"/"Esclusa" se non la supera; oppure "In valutazione" se la verifica è ancora in corso.</t>
  </si>
  <si>
    <t>Per quali scopi le stazioni appaltanti possono svolgere consultazioni preliminari di mercato ai sensi dell'art. 77?</t>
  </si>
  <si>
    <t>Per predisporre gli atti di gara (compresa la scelta della procedura) e colmare il proprio gap conoscitivo/informativo, informando il mercato sulle intenzioni di acquisto, raccogliendo soluzioni e proposte alternative e valutando capacità dei fornitori, tecnologie, prezzi, condizioni di mercato e i fabbisogni della stazione appaltante ai sensi dell’art. 77.</t>
  </si>
  <si>
    <t>Quali informazioni è possibile visualizzare tramite la seduta virtuale durante una procedura di gara?</t>
  </si>
  <si>
    <t>Tramite la seduta virtuale è possibile visualizzare, in tempo reale, lo stato e l’andamento dell’apertura delle buste (amministrative, tecniche ed economiche), gli esiti della valutazione tecnica (se prevista) e la tabella delle informazioni tecnico‑economiche con punteggi/valutazioni e i dati economici inviati da ciascun concorrente.</t>
  </si>
  <si>
    <t>Chi è responsabile della predisposizione della documentazione e del rispetto delle disposizioni legislative nelle procedure di gare telematiche effettuate tramite la piattaforma empulia?</t>
  </si>
  <si>
    <t>La stazione appaltante (l'ente aderente), tramite il suo Responsabile Unico del Procedimento (RUP).</t>
  </si>
  <si>
    <t>Chi può chiedere di essere qualificato e quando, secondo l'articolo 168?</t>
  </si>
  <si>
    <t>Gli operatori economici interessati possono chiedere di essere qualificati in qualsiasi momento per tutta la durata del sistema di qualificazione istituito dalla stazione appaltante o dall'ente concedente.</t>
  </si>
  <si>
    <t>Chi è responsabile della predisposizione della documentazione e della conduzione delle procedure di gara telematiche effettuate tramite la piattaforma empulia?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</si>
</sst>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bottom"/>
    </xf>
    <xf borderId="1" fillId="0" fontId="2" numFmtId="0" xfId="0" applyAlignment="1" applyBorder="1" applyFont="1">
      <alignment horizontal="center" vertical="bottom"/>
    </xf>
    <xf borderId="0" fillId="0" fontId="2" numFmtId="0" xfId="0" applyAlignment="1" applyFont="1">
      <alignment horizontal="center" vertical="bottom"/>
    </xf>
    <xf borderId="1" fillId="0" fontId="2" numFmtId="0" xfId="0" applyAlignment="1" applyBorder="1" applyFont="1">
      <alignment vertical="bottom"/>
    </xf>
    <xf borderId="0" fillId="0" fontId="2" numFmtId="0" xfId="0" applyAlignment="1" applyFont="1">
      <alignment vertical="bottom"/>
    </xf>
    <xf borderId="1" fillId="0" fontId="1" numFmtId="0" xfId="0" applyAlignment="1" applyBorder="1" applyFont="1">
      <alignment readingOrder="0"/>
    </xf>
    <xf borderId="0" fillId="0" fontId="1" numFmtId="9"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7" max="11" width="19.38"/>
  </cols>
  <sheetData>
    <row r="1">
      <c r="A1" s="1"/>
      <c r="C1" s="1"/>
      <c r="D1" s="1"/>
      <c r="E1" s="1"/>
      <c r="F1" s="1"/>
      <c r="G1" s="2" t="s">
        <v>0</v>
      </c>
      <c r="H1" s="3" t="s">
        <v>1</v>
      </c>
      <c r="I1" s="3" t="s">
        <v>2</v>
      </c>
      <c r="J1" s="3" t="s">
        <v>3</v>
      </c>
      <c r="K1" s="3" t="s">
        <v>4</v>
      </c>
      <c r="L1" s="4"/>
      <c r="M1" s="4"/>
    </row>
    <row r="2">
      <c r="A2" s="1"/>
      <c r="C2" s="1"/>
      <c r="D2" s="1"/>
      <c r="E2" s="1"/>
      <c r="F2" s="1"/>
      <c r="G2" s="5" t="s">
        <v>5</v>
      </c>
      <c r="H2" s="3">
        <f>ROUND(AVERAGE(F:F), 2)</f>
        <v>0.42</v>
      </c>
      <c r="I2" s="3">
        <f>SUM(F:F)</f>
        <v>59</v>
      </c>
      <c r="J2" s="3">
        <f>COUNTIF(F:F, 0)</f>
        <v>80</v>
      </c>
      <c r="K2" s="3">
        <f t="shared" ref="K2:K7" si="1">SUM(I2,J2)</f>
        <v>139</v>
      </c>
      <c r="L2" s="4"/>
      <c r="M2" s="4"/>
    </row>
    <row r="3">
      <c r="A3" s="1"/>
      <c r="C3" s="1"/>
      <c r="D3" s="1"/>
      <c r="E3" s="1"/>
      <c r="F3" s="1"/>
      <c r="G3" s="5" t="s">
        <v>6</v>
      </c>
      <c r="H3" s="3">
        <f>ROUND(AVERAGEIF(C:C, "DisciplinaDiUtilizzo", F:F), 2)</f>
        <v>0.47</v>
      </c>
      <c r="I3" s="3">
        <f>SUMIF(C:C, "DisciplinaDiUtilizzo", F:F)</f>
        <v>15</v>
      </c>
      <c r="J3" s="3">
        <f>COUNTIFS(C:C, "DisciplinaDiUtilizzo", F:F, 0)</f>
        <v>17</v>
      </c>
      <c r="K3" s="3">
        <f t="shared" si="1"/>
        <v>32</v>
      </c>
      <c r="L3" s="4"/>
      <c r="M3" s="4"/>
    </row>
    <row r="4">
      <c r="A4" s="1"/>
      <c r="C4" s="1"/>
      <c r="D4" s="1"/>
      <c r="E4" s="1"/>
      <c r="F4" s="1"/>
      <c r="G4" s="5" t="s">
        <v>7</v>
      </c>
      <c r="H4" s="3">
        <f>ROUND(AVERAGEIF(C:C, "CodiceAppalti", F:F) , 2)</f>
        <v>0.53</v>
      </c>
      <c r="I4" s="3">
        <f>SUMIF(C:C, "CodiceAppalti", F:F)</f>
        <v>25</v>
      </c>
      <c r="J4" s="3">
        <f>COUNTIFS(C:C, "CodiceAppalti", F:F, 0)</f>
        <v>22</v>
      </c>
      <c r="K4" s="3">
        <f t="shared" si="1"/>
        <v>47</v>
      </c>
      <c r="L4" s="4"/>
      <c r="M4" s="4"/>
    </row>
    <row r="5">
      <c r="A5" s="1"/>
      <c r="C5" s="1"/>
      <c r="D5" s="1"/>
      <c r="E5" s="1"/>
      <c r="F5" s="1"/>
      <c r="G5" s="5" t="s">
        <v>8</v>
      </c>
      <c r="H5" s="3">
        <f>ROUND(AVERAGEIF(C:C, "FAQ", F:F), 2)</f>
        <v>0.5</v>
      </c>
      <c r="I5" s="3">
        <f>SUMIF(C:C, "FAQ", F:F)</f>
        <v>6</v>
      </c>
      <c r="J5" s="3">
        <f>COUNTIFS(C:C, "FAQ", F:F, 0)</f>
        <v>6</v>
      </c>
      <c r="K5" s="3">
        <f t="shared" si="1"/>
        <v>12</v>
      </c>
      <c r="L5" s="4"/>
      <c r="M5" s="4"/>
    </row>
    <row r="6">
      <c r="A6" s="1"/>
      <c r="C6" s="1"/>
      <c r="D6" s="1"/>
      <c r="E6" s="1"/>
      <c r="F6" s="1"/>
      <c r="G6" s="5" t="s">
        <v>9</v>
      </c>
      <c r="H6" s="3">
        <f>ROUND(AVERAGEIF(C:C, "GuidePraticheOE", F:F), 2)</f>
        <v>0.24</v>
      </c>
      <c r="I6" s="3">
        <f>SUMIF(C:C, "GuidePraticheOE", F:F)</f>
        <v>7</v>
      </c>
      <c r="J6" s="3">
        <f>COUNTIFS(C:C, "GuidePraticheOE", F:F, 0)</f>
        <v>22</v>
      </c>
      <c r="K6" s="3">
        <f t="shared" si="1"/>
        <v>29</v>
      </c>
      <c r="L6" s="4"/>
      <c r="M6" s="4"/>
    </row>
    <row r="7">
      <c r="A7" s="1"/>
      <c r="C7" s="1"/>
      <c r="D7" s="1"/>
      <c r="E7" s="1"/>
      <c r="F7" s="1"/>
      <c r="G7" s="5" t="s">
        <v>10</v>
      </c>
      <c r="H7" s="3">
        <f>ROUND(AVERAGEIF(C:C, "GuidePraticheSA", F:F), 2)</f>
        <v>0.32</v>
      </c>
      <c r="I7" s="3">
        <f>SUMIF(C:C, "GuidePraticheSA", F:F)</f>
        <v>6</v>
      </c>
      <c r="J7" s="3">
        <f>COUNTIFS(C:C, "GuidePraticheSA", F:F, 0)</f>
        <v>13</v>
      </c>
      <c r="K7" s="3">
        <f t="shared" si="1"/>
        <v>19</v>
      </c>
      <c r="L7" s="4"/>
      <c r="M7" s="4"/>
    </row>
    <row r="8">
      <c r="A8" s="1"/>
      <c r="C8" s="1"/>
      <c r="D8" s="1"/>
      <c r="E8" s="1"/>
      <c r="F8" s="1"/>
      <c r="I8" s="6"/>
      <c r="J8" s="4"/>
      <c r="K8" s="4"/>
      <c r="L8" s="4"/>
      <c r="M8" s="4"/>
    </row>
    <row r="9">
      <c r="A9" s="1"/>
      <c r="C9" s="1"/>
      <c r="D9" s="1"/>
      <c r="E9" s="1"/>
      <c r="F9" s="1"/>
      <c r="I9" s="6"/>
      <c r="J9" s="4"/>
      <c r="K9" s="4"/>
      <c r="L9" s="4"/>
      <c r="M9" s="4"/>
    </row>
    <row r="10">
      <c r="A10" s="7" t="s">
        <v>11</v>
      </c>
      <c r="B10" s="7" t="s">
        <v>12</v>
      </c>
      <c r="C10" s="7" t="s">
        <v>13</v>
      </c>
      <c r="D10" s="7" t="s">
        <v>14</v>
      </c>
      <c r="E10" s="7" t="s">
        <v>15</v>
      </c>
      <c r="F10" s="7" t="s">
        <v>16</v>
      </c>
      <c r="I10" s="6"/>
      <c r="J10" s="4"/>
      <c r="K10" s="4"/>
      <c r="L10" s="4"/>
      <c r="M10" s="4"/>
    </row>
    <row r="11">
      <c r="A11" s="1" t="s">
        <v>17</v>
      </c>
      <c r="C11" s="1" t="s">
        <v>18</v>
      </c>
      <c r="D11" s="1" t="s">
        <v>19</v>
      </c>
      <c r="E11" s="1" t="s">
        <v>20</v>
      </c>
      <c r="F11" s="1">
        <v>0.0</v>
      </c>
      <c r="I11" s="6"/>
      <c r="J11" s="4"/>
      <c r="K11" s="4"/>
      <c r="L11" s="4"/>
      <c r="M11" s="4"/>
    </row>
    <row r="12">
      <c r="A12" s="1" t="s">
        <v>17</v>
      </c>
      <c r="C12" s="1" t="s">
        <v>21</v>
      </c>
      <c r="D12" s="1" t="s">
        <v>22</v>
      </c>
      <c r="E12" s="1" t="s">
        <v>23</v>
      </c>
      <c r="F12" s="1">
        <v>1.0</v>
      </c>
      <c r="I12" s="6"/>
      <c r="J12" s="4"/>
      <c r="K12" s="4"/>
      <c r="L12" s="4"/>
      <c r="M12" s="4"/>
    </row>
    <row r="13">
      <c r="A13" s="1" t="s">
        <v>17</v>
      </c>
      <c r="C13" s="1" t="s">
        <v>24</v>
      </c>
      <c r="D13" s="1" t="s">
        <v>25</v>
      </c>
      <c r="E13" s="1" t="s">
        <v>26</v>
      </c>
      <c r="F13" s="1">
        <v>0.0</v>
      </c>
      <c r="I13" s="6"/>
      <c r="J13" s="4"/>
      <c r="K13" s="4"/>
      <c r="L13" s="4"/>
      <c r="M13" s="4"/>
    </row>
    <row r="14">
      <c r="A14" s="1" t="s">
        <v>17</v>
      </c>
      <c r="C14" s="1" t="s">
        <v>18</v>
      </c>
      <c r="D14" s="1" t="s">
        <v>27</v>
      </c>
      <c r="E14" s="1" t="s">
        <v>28</v>
      </c>
      <c r="F14" s="1">
        <v>0.0</v>
      </c>
      <c r="I14" s="6"/>
      <c r="J14" s="4"/>
      <c r="K14" s="4"/>
      <c r="L14" s="4"/>
      <c r="M14" s="4"/>
    </row>
    <row r="15">
      <c r="A15" s="1" t="s">
        <v>17</v>
      </c>
      <c r="C15" s="1" t="s">
        <v>18</v>
      </c>
      <c r="D15" s="1" t="s">
        <v>29</v>
      </c>
      <c r="E15" s="1" t="s">
        <v>30</v>
      </c>
      <c r="F15" s="1">
        <v>1.0</v>
      </c>
      <c r="I15" s="6"/>
      <c r="J15" s="4"/>
      <c r="K15" s="4"/>
      <c r="L15" s="4"/>
      <c r="M15" s="4"/>
    </row>
    <row r="16">
      <c r="A16" s="1" t="s">
        <v>17</v>
      </c>
      <c r="C16" s="1" t="s">
        <v>18</v>
      </c>
      <c r="D16" s="1" t="s">
        <v>31</v>
      </c>
      <c r="E16" s="1" t="s">
        <v>32</v>
      </c>
      <c r="F16" s="1">
        <v>1.0</v>
      </c>
      <c r="I16" s="6"/>
      <c r="J16" s="4"/>
      <c r="K16" s="4"/>
      <c r="L16" s="4"/>
      <c r="M16" s="4"/>
    </row>
    <row r="17">
      <c r="A17" s="1" t="s">
        <v>17</v>
      </c>
      <c r="C17" s="1" t="s">
        <v>21</v>
      </c>
      <c r="D17" s="1" t="s">
        <v>33</v>
      </c>
      <c r="E17" s="1" t="s">
        <v>34</v>
      </c>
      <c r="F17" s="1">
        <v>1.0</v>
      </c>
    </row>
    <row r="18">
      <c r="A18" s="1" t="s">
        <v>17</v>
      </c>
      <c r="C18" s="1" t="s">
        <v>35</v>
      </c>
      <c r="D18" s="1" t="s">
        <v>36</v>
      </c>
      <c r="E18" s="1" t="s">
        <v>37</v>
      </c>
      <c r="F18" s="1">
        <v>0.0</v>
      </c>
    </row>
    <row r="19">
      <c r="A19" s="1" t="s">
        <v>17</v>
      </c>
      <c r="C19" s="1" t="s">
        <v>18</v>
      </c>
      <c r="D19" s="1" t="s">
        <v>38</v>
      </c>
      <c r="E19" s="1" t="s">
        <v>39</v>
      </c>
      <c r="F19" s="1">
        <v>1.0</v>
      </c>
    </row>
    <row r="20">
      <c r="A20" s="1" t="s">
        <v>17</v>
      </c>
      <c r="C20" s="1" t="s">
        <v>35</v>
      </c>
      <c r="D20" s="1" t="s">
        <v>40</v>
      </c>
      <c r="E20" s="1" t="s">
        <v>41</v>
      </c>
      <c r="F20" s="1">
        <v>0.0</v>
      </c>
    </row>
    <row r="21">
      <c r="A21" s="1" t="s">
        <v>17</v>
      </c>
      <c r="C21" s="1" t="s">
        <v>24</v>
      </c>
      <c r="D21" s="1" t="s">
        <v>42</v>
      </c>
      <c r="E21" s="1" t="s">
        <v>43</v>
      </c>
      <c r="F21" s="1">
        <v>0.0</v>
      </c>
    </row>
    <row r="22">
      <c r="A22" s="1" t="s">
        <v>17</v>
      </c>
      <c r="C22" s="1" t="s">
        <v>35</v>
      </c>
      <c r="D22" s="1" t="s">
        <v>44</v>
      </c>
      <c r="E22" s="1" t="s">
        <v>45</v>
      </c>
      <c r="F22" s="1">
        <v>1.0</v>
      </c>
    </row>
    <row r="23">
      <c r="A23" s="1" t="s">
        <v>17</v>
      </c>
      <c r="C23" s="1" t="s">
        <v>21</v>
      </c>
      <c r="D23" s="1" t="s">
        <v>46</v>
      </c>
      <c r="E23" s="1" t="s">
        <v>47</v>
      </c>
      <c r="F23" s="1">
        <v>1.0</v>
      </c>
    </row>
    <row r="24">
      <c r="A24" s="1" t="s">
        <v>17</v>
      </c>
      <c r="C24" s="1" t="s">
        <v>18</v>
      </c>
      <c r="D24" s="1" t="s">
        <v>48</v>
      </c>
      <c r="E24" s="1" t="s">
        <v>49</v>
      </c>
      <c r="F24" s="1">
        <v>1.0</v>
      </c>
    </row>
    <row r="25">
      <c r="A25" s="1" t="s">
        <v>17</v>
      </c>
      <c r="C25" s="1" t="s">
        <v>18</v>
      </c>
      <c r="D25" s="1" t="s">
        <v>50</v>
      </c>
      <c r="E25" s="1" t="s">
        <v>51</v>
      </c>
      <c r="F25" s="1">
        <v>0.0</v>
      </c>
    </row>
    <row r="26">
      <c r="A26" s="1" t="s">
        <v>17</v>
      </c>
      <c r="C26" s="1" t="s">
        <v>52</v>
      </c>
      <c r="D26" s="1" t="s">
        <v>53</v>
      </c>
      <c r="E26" s="1" t="s">
        <v>54</v>
      </c>
      <c r="F26" s="1">
        <v>1.0</v>
      </c>
    </row>
    <row r="27">
      <c r="A27" s="1" t="s">
        <v>17</v>
      </c>
      <c r="C27" s="1" t="s">
        <v>21</v>
      </c>
      <c r="D27" s="1" t="s">
        <v>55</v>
      </c>
      <c r="E27" s="1" t="s">
        <v>56</v>
      </c>
      <c r="F27" s="1">
        <v>1.0</v>
      </c>
    </row>
    <row r="28">
      <c r="A28" s="1" t="s">
        <v>17</v>
      </c>
      <c r="C28" s="1" t="s">
        <v>21</v>
      </c>
      <c r="D28" s="1" t="s">
        <v>57</v>
      </c>
      <c r="E28" s="1" t="s">
        <v>58</v>
      </c>
      <c r="F28" s="1">
        <v>0.0</v>
      </c>
    </row>
    <row r="29">
      <c r="A29" s="1" t="s">
        <v>17</v>
      </c>
      <c r="C29" s="1" t="s">
        <v>21</v>
      </c>
      <c r="D29" s="1" t="s">
        <v>59</v>
      </c>
      <c r="E29" s="1" t="s">
        <v>60</v>
      </c>
      <c r="F29" s="1">
        <v>0.0</v>
      </c>
    </row>
    <row r="30">
      <c r="A30" s="1" t="s">
        <v>17</v>
      </c>
      <c r="C30" s="1" t="s">
        <v>24</v>
      </c>
      <c r="D30" s="1" t="s">
        <v>61</v>
      </c>
      <c r="E30" s="1" t="s">
        <v>62</v>
      </c>
      <c r="F30" s="1">
        <v>0.0</v>
      </c>
    </row>
    <row r="31">
      <c r="A31" s="1" t="s">
        <v>17</v>
      </c>
      <c r="C31" s="1" t="s">
        <v>24</v>
      </c>
      <c r="D31" s="1" t="s">
        <v>63</v>
      </c>
      <c r="E31" s="1" t="s">
        <v>64</v>
      </c>
      <c r="F31" s="1">
        <v>0.0</v>
      </c>
    </row>
    <row r="32">
      <c r="A32" s="1" t="s">
        <v>17</v>
      </c>
      <c r="C32" s="1" t="s">
        <v>35</v>
      </c>
      <c r="D32" s="1" t="s">
        <v>65</v>
      </c>
      <c r="E32" s="1" t="s">
        <v>66</v>
      </c>
      <c r="F32" s="1">
        <v>0.0</v>
      </c>
    </row>
    <row r="33">
      <c r="A33" s="1" t="s">
        <v>17</v>
      </c>
      <c r="C33" s="1" t="s">
        <v>24</v>
      </c>
      <c r="D33" s="1" t="s">
        <v>67</v>
      </c>
      <c r="E33" s="1" t="s">
        <v>68</v>
      </c>
      <c r="F33" s="1">
        <v>0.0</v>
      </c>
    </row>
    <row r="34">
      <c r="A34" s="1" t="s">
        <v>17</v>
      </c>
      <c r="C34" s="1" t="s">
        <v>35</v>
      </c>
      <c r="D34" s="1" t="s">
        <v>69</v>
      </c>
      <c r="E34" s="1" t="s">
        <v>70</v>
      </c>
      <c r="F34" s="1">
        <v>0.0</v>
      </c>
    </row>
    <row r="35">
      <c r="A35" s="1" t="s">
        <v>17</v>
      </c>
      <c r="C35" s="1" t="s">
        <v>18</v>
      </c>
      <c r="D35" s="1" t="s">
        <v>71</v>
      </c>
      <c r="E35" s="1" t="s">
        <v>72</v>
      </c>
      <c r="F35" s="1">
        <v>1.0</v>
      </c>
    </row>
    <row r="36">
      <c r="A36" s="1" t="s">
        <v>17</v>
      </c>
      <c r="C36" s="1" t="s">
        <v>18</v>
      </c>
      <c r="D36" s="1" t="s">
        <v>73</v>
      </c>
      <c r="E36" s="1" t="s">
        <v>74</v>
      </c>
      <c r="F36" s="1">
        <v>1.0</v>
      </c>
    </row>
    <row r="37">
      <c r="A37" s="1" t="s">
        <v>17</v>
      </c>
      <c r="C37" s="1" t="s">
        <v>18</v>
      </c>
      <c r="D37" s="1" t="s">
        <v>75</v>
      </c>
      <c r="E37" s="1" t="s">
        <v>76</v>
      </c>
      <c r="F37" s="1">
        <v>0.0</v>
      </c>
    </row>
    <row r="38">
      <c r="A38" s="1" t="s">
        <v>17</v>
      </c>
      <c r="C38" s="1" t="s">
        <v>35</v>
      </c>
      <c r="D38" s="1" t="s">
        <v>77</v>
      </c>
      <c r="E38" s="1" t="s">
        <v>78</v>
      </c>
      <c r="F38" s="1">
        <v>0.0</v>
      </c>
    </row>
    <row r="39">
      <c r="A39" s="1" t="s">
        <v>17</v>
      </c>
      <c r="C39" s="1" t="s">
        <v>18</v>
      </c>
      <c r="D39" s="1" t="s">
        <v>79</v>
      </c>
      <c r="E39" s="1" t="s">
        <v>80</v>
      </c>
      <c r="F39" s="1">
        <v>0.0</v>
      </c>
    </row>
    <row r="40">
      <c r="A40" s="1" t="s">
        <v>17</v>
      </c>
      <c r="C40" s="1" t="s">
        <v>24</v>
      </c>
      <c r="D40" s="1" t="s">
        <v>81</v>
      </c>
      <c r="E40" s="1" t="s">
        <v>82</v>
      </c>
      <c r="F40" s="1">
        <v>1.0</v>
      </c>
    </row>
    <row r="41">
      <c r="A41" s="1" t="s">
        <v>17</v>
      </c>
      <c r="C41" s="1" t="s">
        <v>18</v>
      </c>
      <c r="D41" s="1" t="s">
        <v>83</v>
      </c>
      <c r="E41" s="1" t="s">
        <v>84</v>
      </c>
      <c r="F41" s="1">
        <v>0.0</v>
      </c>
    </row>
    <row r="42">
      <c r="A42" s="1" t="s">
        <v>17</v>
      </c>
      <c r="C42" s="1" t="s">
        <v>52</v>
      </c>
      <c r="D42" s="1" t="s">
        <v>85</v>
      </c>
      <c r="E42" s="1" t="s">
        <v>86</v>
      </c>
      <c r="F42" s="1">
        <v>0.0</v>
      </c>
    </row>
    <row r="43">
      <c r="A43" s="1" t="s">
        <v>17</v>
      </c>
      <c r="C43" s="1" t="s">
        <v>52</v>
      </c>
      <c r="D43" s="1" t="s">
        <v>87</v>
      </c>
      <c r="E43" s="1" t="s">
        <v>54</v>
      </c>
      <c r="F43" s="1">
        <v>1.0</v>
      </c>
    </row>
    <row r="44">
      <c r="A44" s="1" t="s">
        <v>17</v>
      </c>
      <c r="C44" s="1" t="s">
        <v>18</v>
      </c>
      <c r="D44" s="1" t="s">
        <v>88</v>
      </c>
      <c r="E44" s="1" t="s">
        <v>89</v>
      </c>
      <c r="F44" s="1">
        <v>0.0</v>
      </c>
    </row>
    <row r="45">
      <c r="A45" s="1" t="s">
        <v>17</v>
      </c>
      <c r="C45" s="1" t="s">
        <v>21</v>
      </c>
      <c r="D45" s="1" t="s">
        <v>90</v>
      </c>
      <c r="E45" s="1" t="s">
        <v>91</v>
      </c>
      <c r="F45" s="1">
        <v>0.0</v>
      </c>
    </row>
    <row r="46">
      <c r="A46" s="1" t="s">
        <v>17</v>
      </c>
      <c r="C46" s="1" t="s">
        <v>18</v>
      </c>
      <c r="D46" s="1" t="s">
        <v>92</v>
      </c>
      <c r="E46" s="1" t="s">
        <v>93</v>
      </c>
      <c r="F46" s="1">
        <v>0.0</v>
      </c>
    </row>
    <row r="47">
      <c r="A47" s="1" t="s">
        <v>17</v>
      </c>
      <c r="C47" s="1" t="s">
        <v>35</v>
      </c>
      <c r="D47" s="1" t="s">
        <v>94</v>
      </c>
      <c r="E47" s="1" t="s">
        <v>95</v>
      </c>
      <c r="F47" s="1">
        <v>0.0</v>
      </c>
    </row>
    <row r="48">
      <c r="A48" s="1" t="s">
        <v>17</v>
      </c>
      <c r="C48" s="1" t="s">
        <v>35</v>
      </c>
      <c r="D48" s="1" t="s">
        <v>96</v>
      </c>
      <c r="E48" s="1" t="s">
        <v>97</v>
      </c>
      <c r="F48" s="1">
        <v>0.0</v>
      </c>
    </row>
    <row r="49">
      <c r="A49" s="1" t="s">
        <v>17</v>
      </c>
      <c r="C49" s="1" t="s">
        <v>21</v>
      </c>
      <c r="D49" s="1" t="s">
        <v>98</v>
      </c>
      <c r="E49" s="1" t="s">
        <v>99</v>
      </c>
      <c r="F49" s="1">
        <v>0.0</v>
      </c>
    </row>
    <row r="50">
      <c r="A50" s="1" t="s">
        <v>17</v>
      </c>
      <c r="C50" s="1" t="s">
        <v>18</v>
      </c>
      <c r="D50" s="1" t="s">
        <v>100</v>
      </c>
      <c r="E50" s="1" t="s">
        <v>101</v>
      </c>
      <c r="F50" s="1">
        <v>0.0</v>
      </c>
    </row>
    <row r="51">
      <c r="A51" s="1" t="s">
        <v>17</v>
      </c>
      <c r="C51" s="1" t="s">
        <v>35</v>
      </c>
      <c r="D51" s="1" t="s">
        <v>102</v>
      </c>
      <c r="E51" s="1" t="s">
        <v>103</v>
      </c>
      <c r="F51" s="1">
        <v>0.0</v>
      </c>
    </row>
    <row r="52">
      <c r="A52" s="1" t="s">
        <v>17</v>
      </c>
      <c r="C52" s="1" t="s">
        <v>52</v>
      </c>
      <c r="D52" s="1" t="s">
        <v>104</v>
      </c>
      <c r="E52" s="1" t="s">
        <v>105</v>
      </c>
      <c r="F52" s="1">
        <v>1.0</v>
      </c>
    </row>
    <row r="53">
      <c r="A53" s="1" t="s">
        <v>17</v>
      </c>
      <c r="C53" s="1" t="s">
        <v>21</v>
      </c>
      <c r="D53" s="1" t="s">
        <v>106</v>
      </c>
      <c r="E53" s="1" t="s">
        <v>107</v>
      </c>
      <c r="F53" s="1">
        <v>1.0</v>
      </c>
    </row>
    <row r="54">
      <c r="A54" s="1" t="s">
        <v>17</v>
      </c>
      <c r="C54" s="1" t="s">
        <v>21</v>
      </c>
      <c r="D54" s="1" t="s">
        <v>108</v>
      </c>
      <c r="E54" s="1" t="s">
        <v>109</v>
      </c>
      <c r="F54" s="1">
        <v>0.0</v>
      </c>
    </row>
    <row r="55">
      <c r="A55" s="1" t="s">
        <v>17</v>
      </c>
      <c r="C55" s="1" t="s">
        <v>18</v>
      </c>
      <c r="D55" s="1" t="s">
        <v>110</v>
      </c>
      <c r="E55" s="1" t="s">
        <v>111</v>
      </c>
      <c r="F55" s="1">
        <v>1.0</v>
      </c>
    </row>
    <row r="56">
      <c r="A56" s="1" t="s">
        <v>17</v>
      </c>
      <c r="C56" s="1" t="s">
        <v>21</v>
      </c>
      <c r="D56" s="1" t="s">
        <v>112</v>
      </c>
      <c r="E56" s="1" t="s">
        <v>113</v>
      </c>
      <c r="F56" s="1">
        <v>0.0</v>
      </c>
    </row>
    <row r="57">
      <c r="A57" s="1" t="s">
        <v>17</v>
      </c>
      <c r="C57" s="1" t="s">
        <v>35</v>
      </c>
      <c r="D57" s="1" t="s">
        <v>114</v>
      </c>
      <c r="E57" s="1" t="s">
        <v>115</v>
      </c>
      <c r="F57" s="1">
        <v>0.0</v>
      </c>
    </row>
    <row r="58">
      <c r="A58" s="1" t="s">
        <v>17</v>
      </c>
      <c r="C58" s="1" t="s">
        <v>21</v>
      </c>
      <c r="D58" s="1" t="s">
        <v>116</v>
      </c>
      <c r="E58" s="1" t="s">
        <v>117</v>
      </c>
      <c r="F58" s="1">
        <v>1.0</v>
      </c>
    </row>
    <row r="59">
      <c r="A59" s="1" t="s">
        <v>17</v>
      </c>
      <c r="C59" s="1" t="s">
        <v>18</v>
      </c>
      <c r="D59" s="1" t="s">
        <v>118</v>
      </c>
      <c r="E59" s="1" t="s">
        <v>119</v>
      </c>
      <c r="F59" s="1">
        <v>1.0</v>
      </c>
    </row>
    <row r="60">
      <c r="A60" s="1" t="s">
        <v>17</v>
      </c>
      <c r="C60" s="1" t="s">
        <v>24</v>
      </c>
      <c r="D60" s="1" t="s">
        <v>120</v>
      </c>
      <c r="E60" s="1" t="s">
        <v>121</v>
      </c>
      <c r="F60" s="1">
        <v>0.0</v>
      </c>
    </row>
    <row r="61">
      <c r="A61" s="1" t="s">
        <v>17</v>
      </c>
      <c r="C61" s="1" t="s">
        <v>35</v>
      </c>
      <c r="D61" s="1" t="s">
        <v>122</v>
      </c>
      <c r="E61" s="1" t="s">
        <v>123</v>
      </c>
      <c r="F61" s="1">
        <v>0.0</v>
      </c>
    </row>
    <row r="62">
      <c r="A62" s="1" t="s">
        <v>17</v>
      </c>
      <c r="C62" s="1" t="s">
        <v>35</v>
      </c>
      <c r="D62" s="1" t="s">
        <v>124</v>
      </c>
      <c r="E62" s="1" t="s">
        <v>125</v>
      </c>
      <c r="F62" s="1">
        <v>0.0</v>
      </c>
    </row>
    <row r="63">
      <c r="A63" s="1" t="s">
        <v>17</v>
      </c>
      <c r="C63" s="1" t="s">
        <v>21</v>
      </c>
      <c r="D63" s="1" t="s">
        <v>126</v>
      </c>
      <c r="E63" s="1" t="s">
        <v>127</v>
      </c>
      <c r="F63" s="1">
        <v>1.0</v>
      </c>
    </row>
    <row r="64">
      <c r="A64" s="1" t="s">
        <v>17</v>
      </c>
      <c r="C64" s="1" t="s">
        <v>18</v>
      </c>
      <c r="D64" s="1" t="s">
        <v>128</v>
      </c>
      <c r="E64" s="1" t="s">
        <v>129</v>
      </c>
      <c r="F64" s="1">
        <v>0.0</v>
      </c>
    </row>
    <row r="65">
      <c r="A65" s="1" t="s">
        <v>17</v>
      </c>
      <c r="C65" s="1" t="s">
        <v>52</v>
      </c>
      <c r="D65" s="1" t="s">
        <v>130</v>
      </c>
      <c r="E65" s="1" t="s">
        <v>131</v>
      </c>
      <c r="F65" s="1">
        <v>0.0</v>
      </c>
    </row>
    <row r="66">
      <c r="A66" s="1" t="s">
        <v>17</v>
      </c>
      <c r="C66" s="1" t="s">
        <v>24</v>
      </c>
      <c r="D66" s="1" t="s">
        <v>132</v>
      </c>
      <c r="E66" s="1" t="s">
        <v>133</v>
      </c>
      <c r="F66" s="1">
        <v>0.0</v>
      </c>
    </row>
    <row r="67">
      <c r="A67" s="1" t="s">
        <v>17</v>
      </c>
      <c r="C67" s="1" t="s">
        <v>35</v>
      </c>
      <c r="D67" s="1" t="s">
        <v>134</v>
      </c>
      <c r="E67" s="1" t="s">
        <v>135</v>
      </c>
      <c r="F67" s="1">
        <v>0.0</v>
      </c>
    </row>
    <row r="68">
      <c r="A68" s="1" t="s">
        <v>17</v>
      </c>
      <c r="C68" s="1" t="s">
        <v>21</v>
      </c>
      <c r="D68" s="1" t="s">
        <v>136</v>
      </c>
      <c r="E68" s="1" t="s">
        <v>137</v>
      </c>
      <c r="F68" s="1">
        <v>1.0</v>
      </c>
    </row>
    <row r="69">
      <c r="A69" s="1" t="s">
        <v>17</v>
      </c>
      <c r="C69" s="1" t="s">
        <v>35</v>
      </c>
      <c r="D69" s="1" t="s">
        <v>138</v>
      </c>
      <c r="E69" s="1" t="s">
        <v>139</v>
      </c>
      <c r="F69" s="1">
        <v>1.0</v>
      </c>
    </row>
    <row r="70">
      <c r="A70" s="1" t="s">
        <v>17</v>
      </c>
      <c r="C70" s="1" t="s">
        <v>21</v>
      </c>
      <c r="D70" s="1" t="s">
        <v>140</v>
      </c>
      <c r="E70" s="1" t="s">
        <v>141</v>
      </c>
      <c r="F70" s="1">
        <v>0.0</v>
      </c>
    </row>
    <row r="71">
      <c r="A71" s="1" t="s">
        <v>17</v>
      </c>
      <c r="C71" s="1" t="s">
        <v>18</v>
      </c>
      <c r="D71" s="1" t="s">
        <v>142</v>
      </c>
      <c r="E71" s="1" t="s">
        <v>143</v>
      </c>
      <c r="F71" s="1">
        <v>1.0</v>
      </c>
    </row>
    <row r="72">
      <c r="A72" s="1" t="s">
        <v>17</v>
      </c>
      <c r="C72" s="1" t="s">
        <v>21</v>
      </c>
      <c r="D72" s="1" t="s">
        <v>144</v>
      </c>
      <c r="E72" s="1" t="s">
        <v>145</v>
      </c>
      <c r="F72" s="1">
        <v>0.0</v>
      </c>
    </row>
    <row r="73">
      <c r="A73" s="1" t="s">
        <v>17</v>
      </c>
      <c r="C73" s="1" t="s">
        <v>18</v>
      </c>
      <c r="D73" s="1" t="s">
        <v>146</v>
      </c>
      <c r="E73" s="1" t="s">
        <v>147</v>
      </c>
      <c r="F73" s="1">
        <v>1.0</v>
      </c>
    </row>
    <row r="74">
      <c r="A74" s="1" t="s">
        <v>17</v>
      </c>
      <c r="C74" s="1" t="s">
        <v>18</v>
      </c>
      <c r="D74" s="1" t="s">
        <v>148</v>
      </c>
      <c r="E74" s="1" t="s">
        <v>149</v>
      </c>
      <c r="F74" s="1">
        <v>0.0</v>
      </c>
    </row>
    <row r="75">
      <c r="A75" s="1" t="s">
        <v>17</v>
      </c>
      <c r="C75" s="1" t="s">
        <v>35</v>
      </c>
      <c r="D75" s="1" t="s">
        <v>150</v>
      </c>
      <c r="E75" s="1" t="s">
        <v>151</v>
      </c>
      <c r="F75" s="1">
        <v>1.0</v>
      </c>
    </row>
    <row r="76">
      <c r="A76" s="1" t="s">
        <v>17</v>
      </c>
      <c r="C76" s="1" t="s">
        <v>21</v>
      </c>
      <c r="D76" s="1" t="s">
        <v>152</v>
      </c>
      <c r="E76" s="1" t="s">
        <v>153</v>
      </c>
      <c r="F76" s="1">
        <v>0.0</v>
      </c>
    </row>
    <row r="77">
      <c r="A77" s="1" t="s">
        <v>17</v>
      </c>
      <c r="C77" s="1" t="s">
        <v>18</v>
      </c>
      <c r="D77" s="1" t="s">
        <v>154</v>
      </c>
      <c r="E77" s="1" t="s">
        <v>155</v>
      </c>
      <c r="F77" s="1">
        <v>0.0</v>
      </c>
    </row>
    <row r="78">
      <c r="A78" s="1" t="s">
        <v>17</v>
      </c>
      <c r="C78" s="1" t="s">
        <v>18</v>
      </c>
      <c r="D78" s="1" t="s">
        <v>156</v>
      </c>
      <c r="E78" s="1" t="s">
        <v>157</v>
      </c>
      <c r="F78" s="1">
        <v>0.0</v>
      </c>
    </row>
    <row r="79">
      <c r="A79" s="1" t="s">
        <v>17</v>
      </c>
      <c r="C79" s="1" t="s">
        <v>24</v>
      </c>
      <c r="D79" s="1" t="s">
        <v>158</v>
      </c>
      <c r="E79" s="1" t="s">
        <v>159</v>
      </c>
      <c r="F79" s="1">
        <v>1.0</v>
      </c>
    </row>
    <row r="80">
      <c r="A80" s="1" t="s">
        <v>17</v>
      </c>
      <c r="C80" s="1" t="s">
        <v>35</v>
      </c>
      <c r="D80" s="1" t="s">
        <v>160</v>
      </c>
      <c r="E80" s="1" t="s">
        <v>161</v>
      </c>
      <c r="F80" s="1">
        <v>0.0</v>
      </c>
    </row>
    <row r="81">
      <c r="A81" s="1" t="s">
        <v>17</v>
      </c>
      <c r="C81" s="1" t="s">
        <v>24</v>
      </c>
      <c r="D81" s="1" t="s">
        <v>162</v>
      </c>
      <c r="E81" s="1" t="s">
        <v>163</v>
      </c>
      <c r="F81" s="1">
        <v>0.0</v>
      </c>
    </row>
    <row r="82">
      <c r="A82" s="1" t="s">
        <v>17</v>
      </c>
      <c r="C82" s="1" t="s">
        <v>35</v>
      </c>
      <c r="D82" s="1" t="s">
        <v>164</v>
      </c>
      <c r="E82" s="1" t="s">
        <v>165</v>
      </c>
      <c r="F82" s="1">
        <v>1.0</v>
      </c>
    </row>
    <row r="83">
      <c r="A83" s="1" t="s">
        <v>17</v>
      </c>
      <c r="C83" s="1" t="s">
        <v>35</v>
      </c>
      <c r="D83" s="1" t="s">
        <v>166</v>
      </c>
      <c r="E83" s="1" t="s">
        <v>167</v>
      </c>
      <c r="F83" s="1">
        <v>1.0</v>
      </c>
    </row>
    <row r="84">
      <c r="A84" s="1" t="s">
        <v>17</v>
      </c>
      <c r="C84" s="1" t="s">
        <v>35</v>
      </c>
      <c r="D84" s="1" t="s">
        <v>168</v>
      </c>
      <c r="E84" s="1" t="s">
        <v>169</v>
      </c>
      <c r="F84" s="1">
        <v>0.0</v>
      </c>
    </row>
    <row r="85">
      <c r="A85" s="1" t="s">
        <v>17</v>
      </c>
      <c r="C85" s="1" t="s">
        <v>24</v>
      </c>
      <c r="D85" s="1" t="s">
        <v>170</v>
      </c>
      <c r="E85" s="1" t="s">
        <v>171</v>
      </c>
      <c r="F85" s="1">
        <v>1.0</v>
      </c>
    </row>
    <row r="86">
      <c r="A86" s="1" t="s">
        <v>17</v>
      </c>
      <c r="C86" s="1" t="s">
        <v>21</v>
      </c>
      <c r="D86" s="1" t="s">
        <v>172</v>
      </c>
      <c r="E86" s="1" t="s">
        <v>173</v>
      </c>
      <c r="F86" s="1">
        <v>0.0</v>
      </c>
    </row>
    <row r="87">
      <c r="A87" s="1" t="s">
        <v>17</v>
      </c>
      <c r="C87" s="1" t="s">
        <v>52</v>
      </c>
      <c r="D87" s="1" t="s">
        <v>174</v>
      </c>
      <c r="E87" s="1" t="s">
        <v>175</v>
      </c>
      <c r="F87" s="1">
        <v>1.0</v>
      </c>
    </row>
    <row r="88">
      <c r="A88" s="1" t="s">
        <v>17</v>
      </c>
      <c r="C88" s="1" t="s">
        <v>35</v>
      </c>
      <c r="D88" s="1" t="s">
        <v>176</v>
      </c>
      <c r="E88" s="1" t="s">
        <v>177</v>
      </c>
      <c r="F88" s="1">
        <v>0.0</v>
      </c>
    </row>
    <row r="89">
      <c r="A89" s="1" t="s">
        <v>17</v>
      </c>
      <c r="C89" s="1" t="s">
        <v>21</v>
      </c>
      <c r="D89" s="1" t="s">
        <v>178</v>
      </c>
      <c r="E89" s="1" t="s">
        <v>179</v>
      </c>
      <c r="F89" s="1">
        <v>1.0</v>
      </c>
    </row>
    <row r="90">
      <c r="A90" s="1" t="s">
        <v>17</v>
      </c>
      <c r="C90" s="1" t="s">
        <v>18</v>
      </c>
      <c r="D90" s="1" t="s">
        <v>180</v>
      </c>
      <c r="E90" s="1" t="s">
        <v>181</v>
      </c>
      <c r="F90" s="1">
        <v>1.0</v>
      </c>
    </row>
    <row r="91">
      <c r="A91" s="1" t="s">
        <v>17</v>
      </c>
      <c r="C91" s="1" t="s">
        <v>35</v>
      </c>
      <c r="D91" s="1" t="s">
        <v>182</v>
      </c>
      <c r="E91" s="1" t="s">
        <v>183</v>
      </c>
      <c r="F91" s="1">
        <v>0.0</v>
      </c>
    </row>
    <row r="92">
      <c r="A92" s="1" t="s">
        <v>17</v>
      </c>
      <c r="C92" s="1" t="s">
        <v>24</v>
      </c>
      <c r="D92" s="1" t="s">
        <v>184</v>
      </c>
      <c r="E92" s="1" t="s">
        <v>185</v>
      </c>
      <c r="F92" s="1">
        <v>0.0</v>
      </c>
    </row>
    <row r="93">
      <c r="A93" s="1" t="s">
        <v>17</v>
      </c>
      <c r="C93" s="1" t="s">
        <v>52</v>
      </c>
      <c r="D93" s="1" t="s">
        <v>186</v>
      </c>
      <c r="E93" s="1" t="s">
        <v>187</v>
      </c>
      <c r="F93" s="1">
        <v>0.0</v>
      </c>
    </row>
    <row r="94">
      <c r="A94" s="1" t="s">
        <v>17</v>
      </c>
      <c r="C94" s="1" t="s">
        <v>24</v>
      </c>
      <c r="D94" s="1" t="s">
        <v>188</v>
      </c>
      <c r="E94" s="1" t="s">
        <v>189</v>
      </c>
      <c r="F94" s="1">
        <v>1.0</v>
      </c>
    </row>
    <row r="95">
      <c r="A95" s="1" t="s">
        <v>17</v>
      </c>
      <c r="C95" s="1" t="s">
        <v>52</v>
      </c>
      <c r="D95" s="1" t="s">
        <v>190</v>
      </c>
      <c r="E95" s="1" t="s">
        <v>54</v>
      </c>
      <c r="F95" s="1">
        <v>1.0</v>
      </c>
    </row>
    <row r="96">
      <c r="A96" s="1" t="s">
        <v>17</v>
      </c>
      <c r="C96" s="1" t="s">
        <v>18</v>
      </c>
      <c r="D96" s="1" t="s">
        <v>191</v>
      </c>
      <c r="E96" s="1" t="s">
        <v>192</v>
      </c>
      <c r="F96" s="1">
        <v>0.0</v>
      </c>
    </row>
    <row r="97">
      <c r="A97" s="1" t="s">
        <v>17</v>
      </c>
      <c r="C97" s="1" t="s">
        <v>18</v>
      </c>
      <c r="D97" s="1" t="s">
        <v>193</v>
      </c>
      <c r="E97" s="1" t="s">
        <v>194</v>
      </c>
      <c r="F97" s="1">
        <v>1.0</v>
      </c>
    </row>
    <row r="98">
      <c r="A98" s="1" t="s">
        <v>17</v>
      </c>
      <c r="C98" s="1" t="s">
        <v>35</v>
      </c>
      <c r="D98" s="1" t="s">
        <v>195</v>
      </c>
      <c r="E98" s="1" t="s">
        <v>196</v>
      </c>
      <c r="F98" s="1">
        <v>0.0</v>
      </c>
    </row>
    <row r="99">
      <c r="A99" s="1" t="s">
        <v>17</v>
      </c>
      <c r="C99" s="1" t="s">
        <v>21</v>
      </c>
      <c r="D99" s="1" t="s">
        <v>197</v>
      </c>
      <c r="E99" s="1" t="s">
        <v>198</v>
      </c>
      <c r="F99" s="1">
        <v>0.0</v>
      </c>
    </row>
    <row r="100">
      <c r="A100" s="1" t="s">
        <v>17</v>
      </c>
      <c r="C100" s="1" t="s">
        <v>21</v>
      </c>
      <c r="D100" s="1" t="s">
        <v>199</v>
      </c>
      <c r="E100" s="1" t="s">
        <v>200</v>
      </c>
      <c r="F100" s="1">
        <v>0.0</v>
      </c>
    </row>
    <row r="101">
      <c r="A101" s="1" t="s">
        <v>17</v>
      </c>
      <c r="C101" s="1" t="s">
        <v>21</v>
      </c>
      <c r="D101" s="1" t="s">
        <v>201</v>
      </c>
      <c r="E101" s="1" t="s">
        <v>202</v>
      </c>
      <c r="F101" s="1">
        <v>0.0</v>
      </c>
    </row>
    <row r="102">
      <c r="A102" s="1" t="s">
        <v>17</v>
      </c>
      <c r="C102" s="1" t="s">
        <v>18</v>
      </c>
      <c r="D102" s="1" t="s">
        <v>203</v>
      </c>
      <c r="E102" s="8">
        <v>0.5</v>
      </c>
      <c r="F102" s="1">
        <v>1.0</v>
      </c>
    </row>
    <row r="103">
      <c r="A103" s="1" t="s">
        <v>17</v>
      </c>
      <c r="C103" s="1" t="s">
        <v>18</v>
      </c>
      <c r="D103" s="1" t="s">
        <v>204</v>
      </c>
      <c r="E103" s="1" t="s">
        <v>205</v>
      </c>
      <c r="F103" s="1">
        <v>1.0</v>
      </c>
    </row>
    <row r="104">
      <c r="A104" s="1" t="s">
        <v>17</v>
      </c>
      <c r="C104" s="1" t="s">
        <v>24</v>
      </c>
      <c r="D104" s="1" t="s">
        <v>206</v>
      </c>
      <c r="E104" s="1" t="s">
        <v>207</v>
      </c>
      <c r="F104" s="1">
        <v>0.0</v>
      </c>
    </row>
    <row r="105">
      <c r="A105" s="1" t="s">
        <v>17</v>
      </c>
      <c r="C105" s="1" t="s">
        <v>21</v>
      </c>
      <c r="D105" s="1" t="s">
        <v>172</v>
      </c>
      <c r="E105" s="1" t="s">
        <v>208</v>
      </c>
      <c r="F105" s="1">
        <v>1.0</v>
      </c>
    </row>
    <row r="106">
      <c r="A106" s="1" t="s">
        <v>17</v>
      </c>
      <c r="C106" s="1" t="s">
        <v>24</v>
      </c>
      <c r="D106" s="1" t="s">
        <v>209</v>
      </c>
      <c r="E106" s="1" t="s">
        <v>210</v>
      </c>
      <c r="F106" s="1">
        <v>1.0</v>
      </c>
    </row>
    <row r="107">
      <c r="A107" s="1" t="s">
        <v>17</v>
      </c>
      <c r="C107" s="1" t="s">
        <v>24</v>
      </c>
      <c r="D107" s="1" t="s">
        <v>211</v>
      </c>
      <c r="E107" s="1" t="s">
        <v>212</v>
      </c>
      <c r="F107" s="1">
        <v>0.0</v>
      </c>
    </row>
    <row r="108">
      <c r="A108" s="1" t="s">
        <v>17</v>
      </c>
      <c r="C108" s="1" t="s">
        <v>52</v>
      </c>
      <c r="D108" s="1" t="s">
        <v>213</v>
      </c>
      <c r="E108" s="1" t="s">
        <v>214</v>
      </c>
      <c r="F108" s="1">
        <v>0.0</v>
      </c>
    </row>
    <row r="109">
      <c r="A109" s="1" t="s">
        <v>17</v>
      </c>
      <c r="C109" s="1" t="s">
        <v>18</v>
      </c>
      <c r="D109" s="1" t="s">
        <v>215</v>
      </c>
      <c r="E109" s="1" t="s">
        <v>216</v>
      </c>
      <c r="F109" s="1">
        <v>0.0</v>
      </c>
    </row>
    <row r="110">
      <c r="A110" s="1" t="s">
        <v>17</v>
      </c>
      <c r="C110" s="1" t="s">
        <v>18</v>
      </c>
      <c r="D110" s="1" t="s">
        <v>217</v>
      </c>
      <c r="E110" s="1">
        <v>5.0</v>
      </c>
      <c r="F110" s="1">
        <v>1.0</v>
      </c>
    </row>
    <row r="111">
      <c r="A111" s="1" t="s">
        <v>17</v>
      </c>
      <c r="C111" s="1" t="s">
        <v>18</v>
      </c>
      <c r="D111" s="1" t="s">
        <v>218</v>
      </c>
      <c r="E111" s="1" t="s">
        <v>219</v>
      </c>
      <c r="F111" s="1">
        <v>1.0</v>
      </c>
    </row>
    <row r="112">
      <c r="A112" s="1" t="s">
        <v>17</v>
      </c>
      <c r="C112" s="1" t="s">
        <v>35</v>
      </c>
      <c r="D112" s="1" t="s">
        <v>220</v>
      </c>
      <c r="E112" s="1" t="s">
        <v>221</v>
      </c>
      <c r="F112" s="1">
        <v>0.0</v>
      </c>
    </row>
    <row r="113">
      <c r="A113" s="1" t="s">
        <v>17</v>
      </c>
      <c r="C113" s="1" t="s">
        <v>18</v>
      </c>
      <c r="D113" s="1" t="s">
        <v>222</v>
      </c>
      <c r="E113" s="1" t="s">
        <v>223</v>
      </c>
      <c r="F113" s="1">
        <v>1.0</v>
      </c>
    </row>
    <row r="114">
      <c r="A114" s="1" t="s">
        <v>17</v>
      </c>
      <c r="C114" s="1" t="s">
        <v>52</v>
      </c>
      <c r="D114" s="1" t="s">
        <v>224</v>
      </c>
      <c r="E114" s="1" t="s">
        <v>225</v>
      </c>
      <c r="F114" s="1">
        <v>1.0</v>
      </c>
    </row>
    <row r="115">
      <c r="A115" s="1" t="s">
        <v>17</v>
      </c>
      <c r="C115" s="1" t="s">
        <v>21</v>
      </c>
      <c r="D115" s="1" t="s">
        <v>226</v>
      </c>
      <c r="E115" s="1" t="s">
        <v>227</v>
      </c>
      <c r="F115" s="1">
        <v>1.0</v>
      </c>
    </row>
    <row r="116">
      <c r="A116" s="1" t="s">
        <v>17</v>
      </c>
      <c r="C116" s="1" t="s">
        <v>35</v>
      </c>
      <c r="D116" s="1" t="s">
        <v>228</v>
      </c>
      <c r="E116" s="1" t="s">
        <v>229</v>
      </c>
      <c r="F116" s="1">
        <v>1.0</v>
      </c>
    </row>
    <row r="117">
      <c r="A117" s="1" t="s">
        <v>17</v>
      </c>
      <c r="C117" s="1" t="s">
        <v>18</v>
      </c>
      <c r="D117" s="1" t="s">
        <v>230</v>
      </c>
      <c r="E117" s="1" t="s">
        <v>231</v>
      </c>
      <c r="F117" s="1">
        <v>1.0</v>
      </c>
    </row>
    <row r="118">
      <c r="A118" s="1" t="s">
        <v>17</v>
      </c>
      <c r="C118" s="1" t="s">
        <v>18</v>
      </c>
      <c r="D118" s="1" t="s">
        <v>232</v>
      </c>
      <c r="E118" s="1" t="s">
        <v>233</v>
      </c>
      <c r="F118" s="1">
        <v>0.0</v>
      </c>
    </row>
    <row r="119">
      <c r="A119" s="1" t="s">
        <v>17</v>
      </c>
      <c r="C119" s="1" t="s">
        <v>18</v>
      </c>
      <c r="D119" s="1" t="s">
        <v>234</v>
      </c>
      <c r="E119" s="1" t="s">
        <v>235</v>
      </c>
      <c r="F119" s="1">
        <v>1.0</v>
      </c>
    </row>
    <row r="120">
      <c r="A120" s="1" t="s">
        <v>17</v>
      </c>
      <c r="C120" s="1" t="s">
        <v>18</v>
      </c>
      <c r="D120" s="1" t="s">
        <v>236</v>
      </c>
      <c r="E120" s="1" t="s">
        <v>237</v>
      </c>
      <c r="F120" s="1">
        <v>0.0</v>
      </c>
    </row>
    <row r="121">
      <c r="A121" s="1" t="s">
        <v>17</v>
      </c>
      <c r="C121" s="1" t="s">
        <v>18</v>
      </c>
      <c r="D121" s="1" t="s">
        <v>238</v>
      </c>
      <c r="E121" s="9">
        <v>5404000.0</v>
      </c>
      <c r="F121" s="1">
        <v>0.0</v>
      </c>
    </row>
    <row r="122">
      <c r="A122" s="1" t="s">
        <v>17</v>
      </c>
      <c r="C122" s="1" t="s">
        <v>21</v>
      </c>
      <c r="D122" s="1" t="s">
        <v>239</v>
      </c>
      <c r="E122" s="1" t="s">
        <v>240</v>
      </c>
      <c r="F122" s="1">
        <v>1.0</v>
      </c>
    </row>
    <row r="123">
      <c r="A123" s="1" t="s">
        <v>17</v>
      </c>
      <c r="C123" s="1" t="s">
        <v>18</v>
      </c>
      <c r="D123" s="1" t="s">
        <v>241</v>
      </c>
      <c r="E123" s="8">
        <v>0.3</v>
      </c>
      <c r="F123" s="1">
        <v>0.0</v>
      </c>
    </row>
    <row r="124">
      <c r="A124" s="1" t="s">
        <v>17</v>
      </c>
      <c r="C124" s="1" t="s">
        <v>21</v>
      </c>
      <c r="D124" s="1" t="s">
        <v>242</v>
      </c>
      <c r="E124" s="1" t="s">
        <v>243</v>
      </c>
      <c r="F124" s="1">
        <v>0.0</v>
      </c>
    </row>
    <row r="125">
      <c r="A125" s="1" t="s">
        <v>17</v>
      </c>
      <c r="C125" s="1" t="s">
        <v>21</v>
      </c>
      <c r="D125" s="1" t="s">
        <v>244</v>
      </c>
      <c r="E125" s="1" t="s">
        <v>245</v>
      </c>
      <c r="F125" s="1">
        <v>1.0</v>
      </c>
    </row>
    <row r="126">
      <c r="A126" s="1" t="s">
        <v>17</v>
      </c>
      <c r="C126" s="1" t="s">
        <v>35</v>
      </c>
      <c r="D126" s="1" t="s">
        <v>246</v>
      </c>
      <c r="E126" s="1" t="s">
        <v>247</v>
      </c>
      <c r="F126" s="1">
        <v>0.0</v>
      </c>
    </row>
    <row r="127">
      <c r="A127" s="1" t="s">
        <v>17</v>
      </c>
      <c r="C127" s="1" t="s">
        <v>18</v>
      </c>
      <c r="D127" s="1" t="s">
        <v>248</v>
      </c>
      <c r="E127" s="1" t="s">
        <v>249</v>
      </c>
      <c r="F127" s="1">
        <v>0.0</v>
      </c>
    </row>
    <row r="128">
      <c r="A128" s="1" t="s">
        <v>17</v>
      </c>
      <c r="C128" s="1" t="s">
        <v>18</v>
      </c>
      <c r="D128" s="1" t="s">
        <v>250</v>
      </c>
      <c r="E128" s="1" t="s">
        <v>72</v>
      </c>
      <c r="F128" s="1">
        <v>1.0</v>
      </c>
    </row>
    <row r="129">
      <c r="A129" s="1" t="s">
        <v>17</v>
      </c>
      <c r="C129" s="1" t="s">
        <v>18</v>
      </c>
      <c r="D129" s="1" t="s">
        <v>251</v>
      </c>
      <c r="E129" s="1" t="s">
        <v>252</v>
      </c>
      <c r="F129" s="1">
        <v>1.0</v>
      </c>
    </row>
    <row r="130">
      <c r="A130" s="1" t="s">
        <v>17</v>
      </c>
      <c r="C130" s="1" t="s">
        <v>35</v>
      </c>
      <c r="D130" s="1" t="s">
        <v>253</v>
      </c>
      <c r="E130" s="1" t="s">
        <v>254</v>
      </c>
      <c r="F130" s="1">
        <v>0.0</v>
      </c>
    </row>
    <row r="131">
      <c r="A131" s="1" t="s">
        <v>17</v>
      </c>
      <c r="C131" s="1" t="s">
        <v>18</v>
      </c>
      <c r="D131" s="1" t="s">
        <v>255</v>
      </c>
      <c r="E131" s="8">
        <v>0.2</v>
      </c>
      <c r="F131" s="1">
        <v>1.0</v>
      </c>
    </row>
    <row r="132">
      <c r="A132" s="1" t="s">
        <v>17</v>
      </c>
      <c r="C132" s="1" t="s">
        <v>24</v>
      </c>
      <c r="D132" s="1" t="s">
        <v>256</v>
      </c>
      <c r="E132" s="1" t="s">
        <v>257</v>
      </c>
      <c r="F132" s="1">
        <v>0.0</v>
      </c>
    </row>
    <row r="133">
      <c r="A133" s="1" t="s">
        <v>17</v>
      </c>
      <c r="C133" s="1" t="s">
        <v>52</v>
      </c>
      <c r="D133" s="1" t="s">
        <v>258</v>
      </c>
      <c r="E133" s="1" t="s">
        <v>259</v>
      </c>
      <c r="F133" s="1">
        <v>0.0</v>
      </c>
    </row>
    <row r="134">
      <c r="A134" s="1" t="s">
        <v>17</v>
      </c>
      <c r="C134" s="1" t="s">
        <v>21</v>
      </c>
      <c r="D134" s="1" t="s">
        <v>260</v>
      </c>
      <c r="E134" s="1" t="s">
        <v>261</v>
      </c>
      <c r="F134" s="1">
        <v>0.0</v>
      </c>
    </row>
    <row r="135">
      <c r="A135" s="1" t="s">
        <v>17</v>
      </c>
      <c r="C135" s="1" t="s">
        <v>35</v>
      </c>
      <c r="D135" s="1" t="s">
        <v>262</v>
      </c>
      <c r="E135" s="1" t="s">
        <v>263</v>
      </c>
      <c r="F135" s="1">
        <v>0.0</v>
      </c>
    </row>
    <row r="136">
      <c r="A136" s="1" t="s">
        <v>17</v>
      </c>
      <c r="C136" s="1" t="s">
        <v>21</v>
      </c>
      <c r="D136" s="1" t="s">
        <v>264</v>
      </c>
      <c r="E136" s="1" t="s">
        <v>198</v>
      </c>
      <c r="F136" s="1">
        <v>1.0</v>
      </c>
    </row>
    <row r="137">
      <c r="A137" s="1" t="s">
        <v>17</v>
      </c>
      <c r="C137" s="1" t="s">
        <v>18</v>
      </c>
      <c r="D137" s="1" t="s">
        <v>265</v>
      </c>
      <c r="E137" s="1" t="s">
        <v>266</v>
      </c>
      <c r="F137" s="1">
        <v>1.0</v>
      </c>
    </row>
    <row r="138">
      <c r="A138" s="1" t="s">
        <v>17</v>
      </c>
      <c r="C138" s="1" t="s">
        <v>24</v>
      </c>
      <c r="D138" s="1" t="s">
        <v>267</v>
      </c>
      <c r="E138" s="1" t="s">
        <v>268</v>
      </c>
      <c r="F138" s="1">
        <v>1.0</v>
      </c>
    </row>
    <row r="139">
      <c r="A139" s="1" t="s">
        <v>17</v>
      </c>
      <c r="C139" s="1" t="s">
        <v>18</v>
      </c>
      <c r="D139" s="1" t="s">
        <v>269</v>
      </c>
      <c r="E139" s="1" t="s">
        <v>270</v>
      </c>
      <c r="F139" s="1">
        <v>0.0</v>
      </c>
    </row>
    <row r="140">
      <c r="A140" s="1" t="s">
        <v>17</v>
      </c>
      <c r="C140" s="1" t="s">
        <v>52</v>
      </c>
      <c r="D140" s="1" t="s">
        <v>271</v>
      </c>
      <c r="E140" s="1" t="s">
        <v>272</v>
      </c>
      <c r="F140" s="1">
        <v>0.0</v>
      </c>
    </row>
    <row r="141">
      <c r="A141" s="1" t="s">
        <v>17</v>
      </c>
      <c r="C141" s="1" t="s">
        <v>24</v>
      </c>
      <c r="D141" s="1" t="s">
        <v>273</v>
      </c>
      <c r="E141" s="1" t="s">
        <v>274</v>
      </c>
      <c r="F141" s="1">
        <v>0.0</v>
      </c>
    </row>
    <row r="142">
      <c r="A142" s="1" t="s">
        <v>17</v>
      </c>
      <c r="C142" s="1" t="s">
        <v>18</v>
      </c>
      <c r="D142" s="1" t="s">
        <v>275</v>
      </c>
      <c r="E142" s="1" t="s">
        <v>276</v>
      </c>
      <c r="F142" s="1">
        <v>0.0</v>
      </c>
    </row>
    <row r="143">
      <c r="A143" s="1" t="s">
        <v>17</v>
      </c>
      <c r="C143" s="1" t="s">
        <v>21</v>
      </c>
      <c r="D143" s="1" t="s">
        <v>277</v>
      </c>
      <c r="E143" s="1" t="s">
        <v>278</v>
      </c>
      <c r="F143" s="1">
        <v>0.0</v>
      </c>
    </row>
    <row r="144">
      <c r="A144" s="1" t="s">
        <v>17</v>
      </c>
      <c r="C144" s="1" t="s">
        <v>35</v>
      </c>
      <c r="D144" s="1" t="s">
        <v>279</v>
      </c>
      <c r="E144" s="1" t="s">
        <v>280</v>
      </c>
      <c r="F144" s="1">
        <v>0.0</v>
      </c>
    </row>
    <row r="145">
      <c r="A145" s="1" t="s">
        <v>17</v>
      </c>
      <c r="C145" s="1" t="s">
        <v>18</v>
      </c>
      <c r="D145" s="1" t="s">
        <v>281</v>
      </c>
      <c r="E145" s="1" t="s">
        <v>282</v>
      </c>
      <c r="F145" s="1">
        <v>1.0</v>
      </c>
    </row>
    <row r="146">
      <c r="A146" s="1" t="s">
        <v>17</v>
      </c>
      <c r="C146" s="1" t="s">
        <v>35</v>
      </c>
      <c r="D146" s="1" t="s">
        <v>283</v>
      </c>
      <c r="E146" s="1" t="s">
        <v>284</v>
      </c>
      <c r="F146" s="1">
        <v>1.0</v>
      </c>
    </row>
    <row r="147">
      <c r="A147" s="1" t="s">
        <v>17</v>
      </c>
      <c r="C147" s="1" t="s">
        <v>21</v>
      </c>
      <c r="D147" s="1" t="s">
        <v>285</v>
      </c>
      <c r="E147" s="1" t="s">
        <v>286</v>
      </c>
      <c r="F147" s="1">
        <v>0.0</v>
      </c>
    </row>
    <row r="148">
      <c r="A148" s="1" t="s">
        <v>17</v>
      </c>
      <c r="C148" s="1" t="s">
        <v>18</v>
      </c>
      <c r="D148" s="1" t="s">
        <v>287</v>
      </c>
      <c r="E148" s="1" t="s">
        <v>288</v>
      </c>
      <c r="F148" s="1">
        <v>1.0</v>
      </c>
    </row>
    <row r="149">
      <c r="A149" s="1" t="s">
        <v>17</v>
      </c>
      <c r="C149" s="1" t="s">
        <v>21</v>
      </c>
      <c r="D149" s="1" t="s">
        <v>289</v>
      </c>
      <c r="E149" s="1" t="s">
        <v>34</v>
      </c>
      <c r="F149" s="1">
        <v>1.0</v>
      </c>
    </row>
  </sheetData>
  <drawing r:id="rId1"/>
</worksheet>
</file>