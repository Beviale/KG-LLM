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ia di ResultsOnlyTrain_START" sheetId="1" r:id="rId5"/>
  </sheets>
  <definedNames/>
  <calcPr/>
</workbook>
</file>

<file path=xl/sharedStrings.xml><?xml version="1.0" encoding="utf-8"?>
<sst xmlns="http://schemas.openxmlformats.org/spreadsheetml/2006/main" count="570" uniqueCount="289">
  <si>
    <t>RESULTS</t>
  </si>
  <si>
    <t>Accuracy</t>
  </si>
  <si>
    <t># correct answers</t>
  </si>
  <si>
    <t># wrong answers</t>
  </si>
  <si>
    <t># total answers</t>
  </si>
  <si>
    <t xml:space="preserve">Global </t>
  </si>
  <si>
    <t xml:space="preserve">"DisciplinaDiUtilizzo" </t>
  </si>
  <si>
    <t xml:space="preserve">"CodiceAppalti" </t>
  </si>
  <si>
    <t xml:space="preserve">"FAQ" </t>
  </si>
  <si>
    <t xml:space="preserve">"GuidePraticheOE" </t>
  </si>
  <si>
    <t xml:space="preserve">"GuidePraticheSA" </t>
  </si>
  <si>
    <t>Interaction type</t>
  </si>
  <si>
    <t>Timestamp</t>
  </si>
  <si>
    <t>Category</t>
  </si>
  <si>
    <t>Question</t>
  </si>
  <si>
    <t>Answer</t>
  </si>
  <si>
    <t>Verdict</t>
  </si>
  <si>
    <t>InteractionType.ONLY_TRAIN</t>
  </si>
  <si>
    <t>CodiceAppalti</t>
  </si>
  <si>
    <t>Secondo l'articolo 29, attraverso quali canali devono essere effettuate le comunicazioni e gli scambi di informazioni previsti dal codice?</t>
  </si>
  <si>
    <t>Per via telematica, tramite posta elettronica certificata (PEC) e le piattaforme/sistemi informatici di e-procurement indicati dal Codice (es. portali delle stazioni appaltanti e delle centrali di committenza).</t>
  </si>
  <si>
    <t>Entro quanti giorni l'ANAC deve esprimere un parere, su iniziativa della stazione appaltante o di altre parti, su questioni insorte durante lo svolgimento delle procedure di gara?</t>
  </si>
  <si>
    <t>Entro 30 giorni.</t>
  </si>
  <si>
    <t>Secondo l'art. 208, quale criterio viene adottato per l'aggiudicazione dei servizi globali su beni immobili?</t>
  </si>
  <si>
    <t>L'offerta economicamente più vantaggiosa (criterio MEAT).</t>
  </si>
  <si>
    <t>DisciplinaDiUtilizzo</t>
  </si>
  <si>
    <t>Chi è responsabile per il rispetto della normativa sugli acquisti della pubblica amministrazione e per eventuali condotte illecite compiute tramite la piattaforma Empulia?</t>
  </si>
  <si>
    <t>La stazione appaltante, ossia l'amministrazione pubblica o ente che effettua l'acquisto tramite EmPULIA.</t>
  </si>
  <si>
    <t>GuidePraticheOE</t>
  </si>
  <si>
    <t>Quali sono le due modalità per visualizzare la comunicazione relativa all'esito della richiesta di abilitazione dopo aver effettuato l'accesso all'area riservata?</t>
  </si>
  <si>
    <t>Nell’area riservata: 1) nella sezione “Comunicazioni/Messaggi” (bacheca/notifiche) e 2) nella sezione “Le mie pratiche/richieste”, aprendo la specifica pratica per visualizzarne l’esito.</t>
  </si>
  <si>
    <t>È consentito porre a carico dei concorrenti o dell'aggiudicatario i costi connessi alla gestione delle piattaforme di approvvigionamento digitale?</t>
  </si>
  <si>
    <t>Sì: è consentito, purché i costi siano chiaramente previsti nei documenti di gara/bando, applicati in modo trasparente, non discriminatorio e proporzionato e non costituiscano oneri imprevisti o eccessivi alla partecipazione.</t>
  </si>
  <si>
    <t>Qual è la soglia di rilevanza europea per gli appalti pubblici di lavori e per le concessioni indicata dall'art. 14?</t>
  </si>
  <si>
    <t>Quale comando sulla toolbar bisogna cliccare per inviare la risposta alla comunicazione?</t>
  </si>
  <si>
    <t>Invia risposta</t>
  </si>
  <si>
    <t>FAQ</t>
  </si>
  <si>
    <t>Un'impresa qualificata nella categoria generale OG11 viene automaticamente iscritta alle categorie speciali OS3, OS28 e OS30 sulla piattaforma EmPULIA?</t>
  </si>
  <si>
    <t>No.</t>
  </si>
  <si>
    <t>GuidePraticheSA</t>
  </si>
  <si>
    <t>Cosa comporta la presa in carico, secondo la regola tecnica di ANAC?</t>
  </si>
  <si>
    <t>La presa in carico, secondo la regola tecnica ANAC, consiste nell'acquisizione formale dell'offerta/istanza sul sistema telematico da parte della stazione appaltante con registrazione e marcatura temporale, verifica dell'integrità, blocco dei documenti (impossibilità di modifiche) e avvio delle attività di controllo e valutazione.</t>
  </si>
  <si>
    <t>Chi è responsabile dell'esecuzione e della regolarità delle procedure di gara telematiche effettuate tramite la piattaforma empulia?</t>
  </si>
  <si>
    <t>La stazione appaltante (l'amministrazione aggiudicatrice che indice la gara).</t>
  </si>
  <si>
    <t>Chi assegna l'abilitazione per poter accedere alle funzionalità dei rilanci competitivi descritte nel manuale?</t>
  </si>
  <si>
    <t>L'amministrazione aggiudicatrice.</t>
  </si>
  <si>
    <t>Qual è la durata massima degli accordi quadro prevista dall'articolo 59?</t>
  </si>
  <si>
    <t>Quattro anni.</t>
  </si>
  <si>
    <t>L’impresa qualificata nella categoria generale OG11 viene iscritta automaticamente alle categorie speciali OS3, OS28 e OS30 dalla piattaforma EmPULIA?</t>
  </si>
  <si>
    <t>Quali fasi compongono, di norma, il ciclo di vita digitale dei contratti pubblici secondo l'art. 21, comma 1?</t>
  </si>
  <si>
    <t>Programmazione e pianificazione, indizione della procedura di affidamento (acquisizione), aggiudicazione e stipula del contratto, esecuzione e gestione contrattuale (compresa la rendicontazione e il monitoraggio), conservazione digitale e chiusura/archiviazione.</t>
  </si>
  <si>
    <t>Entro quanti giorni dalla conclusione di un contratto o di un accordo quadro le stazioni appaltanti devono inviare l'avviso di aggiudicazione?</t>
  </si>
  <si>
    <t>Quali sono le modalità per consultare l'esito della richiesta di abilitazione allo SDA dopo aver effettuato l'accesso all'area riservata?</t>
  </si>
  <si>
    <t>Accedendo all'area riservata puoi consultare l'esito nella sezione "Le mie pratiche"/"Richieste" (o "Abilitazioni SDA") e riceverai inoltre la comunicazione ufficiale tramite PEC.</t>
  </si>
  <si>
    <t>Quali sono le soglie percentuali di variazione dei costi che attivano le clausole di revisione prezzi per i contratti di lavori e per i contratti di servizi e forniture, e quale percentuale della variazione eccedente viene corrisposta?</t>
  </si>
  <si>
    <t>Soglia: 10% sia per i contratti di lavori sia per i contratti di servizi e forniture; della variazione eccedente viene corrisposto il 50%.</t>
  </si>
  <si>
    <t>Quale codice devono indicare i bandi o gli avvisi di gara e tramite quale banca dati viene acquisito, secondo l'art. 83?</t>
  </si>
  <si>
    <t>Devono indicare il Codice Identificativo Gara (CIG), acquisito tramite la Banca dati nazionale dei contratti pubblici gestita dall'ANAC.</t>
  </si>
  <si>
    <t>Qual è l'azione obbligatoria (attività bloccante) che l'utente deve completare nella lista attività dopo essere entrato nella nuova piattaforma?</t>
  </si>
  <si>
    <t>Completare la conferma/aggiornamento dei dati anagrafici (completa profilo).</t>
  </si>
  <si>
    <t>Quali sono i passaggi che deve eseguire il referente convenzione dell'operatore economico per confermare una convenzione dopo averla ricevuta?</t>
  </si>
  <si>
    <t>1) Accedere al portale EmPULIA con le credenziali dell’utente referente (account abilitato).  
2) Aprire l’area “Convenzioni” o “Convenzioni ricevute” e selezionare la convenzione da confermare.  
3) Verificare tutti i dati e i documenti allegati (contratto, condizioni, prezzi, durata, ecc.).  
4) Caricare eventuale documentazione richiesta integrativa (es. certificazioni richieste) e aggiornare i recapiti/ruoli se necessario.  
5) Dare l’accettazione formale tramite il pulsante/maschera “Conferma/Accetta convenzione” presente sulla piattaforma.  
6) Apporre la firma digitale richiesta (del referente abilitato o del legale rappresentante) e inviare la conferma.  
7) Scaricare e conservare la ricevuta/protocollo di avvenuta conferma e verificare sul portale lo stato di esito della procedura.</t>
  </si>
  <si>
    <t>Che cosa si intende per "empulia" e quale attività svolge, secondo la presente disciplina?</t>
  </si>
  <si>
    <t>EmPULIA è la piattaforma telematica tramite la quale InnovaPuglia, in qualità di Soggetto Aggregatore regionale della Regione Puglia, eroga servizi integrati per la razionalizzazione e la gestione degli appalti pubblici: gestione del sistema regionale delle Convenzioni con negozio elettronico per emissione ordini, gestione del Sistema dinamico di acquisizione, gestione unificata dell'Albo online dei Fornitori, gestione completamente telematica delle procedure di gara (aperte, ristrette e negoziate, sopra e sotto soglia) e pubblicazione/archiviazione delle gare svolte in modalità tradizionale.</t>
  </si>
  <si>
    <t>Chi è responsabile della predisposizione della documentazione e della regolarità delle procedure di gara effettuate tramite la piattaforma empulia?</t>
  </si>
  <si>
    <t>La stazione appaltante (l'amministrazione aggiudicatrice) che indice la gara.</t>
  </si>
  <si>
    <t>Quali passaggi deve eseguire l'operatore economico per poter confermare un contratto sulla piattaforma Empulia?</t>
  </si>
  <si>
    <t>1) Accedere al portale EmPULIA con le proprie credenziali; 2) verificare l’iscrizione e i requisiti sull’Albo fornitori se richiesti; 3) aprire l’area relativa all’ordine/contratto e scaricare tutta la documentazione contrattuale; 4) apporre la firma digitale sui documenti richiesti; 5) caricare sulla piattaforma i documenti firmati e inviare la dichiarazione/formale accettazione tramite la funzione prevista (e, se richiesto, trasmettere anche la PEC); 6) attendere la ricevuta di conferma dal sistema.</t>
  </si>
  <si>
    <t>Quali passaggi deve seguire il referente dell'operatore economico per confermare una convenzione?</t>
  </si>
  <si>
    <t>1) Accedere a EmPULIA con le credenziali del referente (SPID/CIE/CNS o account della piattaforma);  
2) entrare nell’area “Convenzioni” o “Negozio elettronico” e selezionare la convenzione da confermare;  
3) avviare l’adesione/conferma cliccando su “Adesione/Conferma” o equivalente;  
4) compilare il modulo elettronico con i dati richiesti e caricare i documenti richiesti dalla convenzione;  
5) sottoscrivere i documenti con firma digitale (o inviare tramite PEC se previsto) e inviare la conferma;  
6) scaricare e conservare la ricevuta di avvenuta trasmissione/conferma e la documentazione prodotta.</t>
  </si>
  <si>
    <t>Qual è la dimensione massima consentita per ciascun file caricato nel sistema EmPULIA?</t>
  </si>
  <si>
    <t>50 MB</t>
  </si>
  <si>
    <t>Secondo l'art. 170, comma 2 del testo, oltre quale percentuale del valore totale dei prodotti originari di Paesi terzi un'offerta può essere respinta?</t>
  </si>
  <si>
    <t>Secondo l'articolo 159, a partire da quando i documenti di gara devono essere resi disponibili in forma digitale e quali caratteristiche deve avere tale accesso?</t>
  </si>
  <si>
    <t>A decorrere dalla pubblicazione del bando, avviso o invito (ovvero dal momento in cui la documentazione è pubblicata sul profilo del committente o sulla piattaforma telematica indicata): l'accesso deve essere gratuito, diretto, continuativo e completo, consentire visione e download dei documenti e garantire integrità, autenticità e immodificabilità della documentazione, senza oneri per gli operatori economici.</t>
  </si>
  <si>
    <t>In quali due categorie sono classificate le formule messe a disposizione dalla piattaforma empulia?</t>
  </si>
  <si>
    <t>Formule telematiche e formule tradizionali (cartacee).</t>
  </si>
  <si>
    <t>Chi ha la responsabilità esclusiva di predisporre la documentazione e garantire il rispetto delle disposizioni legislative per le gare telematiche effettuate tramite la piattaforma Empulia?</t>
  </si>
  <si>
    <t>Quali sono i possibili stati di un contratto e cosa indica ciascuno?</t>
  </si>
  <si>
    <t>Possibili stati di un contratto e cosa indica ciascuno:
- Bozza: il contratto è predisposto ma non completo né definitivo; non è sottoposto a firma né pubblicazione.  
- In validazione / Controllo: il contratto è soggetto a verifiche formali, giuridiche o contabili prima della firma.  
- In sottoscrizione / Firma in corso: le parti stanno procedendo alla firma (cartacea o digitale); non è ancora operativo.  
- Sottoscritto: il contratto è firmato da tutte le parti; può essere in attesa di diventare esecutivo se previste ulteriori formalità.  
- Esecutivo / Attivo / In esecuzione: il contratto è pienamente efficace e le prestazioni/forniture sono in corso.  
- Sospeso: l’esecuzione è temporaneamente sospesa per ordine delle parti, provvedimento amministrativo, contenzioso o altra causa.  
- Inadempiente / Contestato: sono state rilevate inadempienze o contestazioni formali che complicano l’esecuzione.  
- Risolto / Rescisso: il contratto è stato interrotto prima del termine per recesso, inadempimento o rescissione consensuale.  
- Concluso / Eseguito: tutte le prestazioni sono state regolarmente eseguite e il rapporto contrattuale è chiuso.  
- Annullato / Nullo: il contratto è stato dichiarato nullo o annullato per vizi, illegittimità o motivi giuridici.  
- Scaduto: è terminata la durata prevista dal contratto senza rinnovo.</t>
  </si>
  <si>
    <t>Al momento dell'invio della richiesta di abilitazione, quale sarà la nuova fase del documento e cosa accade al campo "utente in carico"?</t>
  </si>
  <si>
    <t>La fase passa a "In istruttoria" e il campo "utente in carico" viene azzerato (svuotato).</t>
  </si>
  <si>
    <t>Chi è responsabile dell’organizzazione e della regolarità delle procedure di gara telematiche effettuate tramite la piattaforma empulia?</t>
  </si>
  <si>
    <t>La stazione appaltante (l'amministrazione che indice la gara).</t>
  </si>
  <si>
    <t>Chi è responsabile del rispetto della normativa sugli acquisti della pubblica amministrazione quando si utilizza la piattaforma Empulia?</t>
  </si>
  <si>
    <t>La responsabilità del rispetto della normativa sugli acquisti resta dell'ente/stazione appaltante (l'amministrazione che effettua l'acquisto) anche quando si utilizza la piattaforma EmPULIA.</t>
  </si>
  <si>
    <t>Quali strumenti di autenticazione possono essere utilizzati per accedere all'area riservata, oltre alla terna di credenziali?</t>
  </si>
  <si>
    <t>SPID, la Carta d'Identità Elettronica (CIE) e la Carta Nazionale dei Servizi (CNS, es. smart card o token USB).</t>
  </si>
  <si>
    <t>Quando si consiglia di avviare la specializzazione del DGUE e perché?</t>
  </si>
  <si>
    <t>Si consiglia di avviare la specializzazione del DGUE prima della presentazione dell'offerta — idealmente al momento dell'iscrizione all'Albo o non appena si intende partecipare alla gara — perché così si possono aggiornare e caricare per tempo tutti i documenti, certificati e requisiti richiesti dalla procedura, evitando esclusioni o ritardi.</t>
  </si>
  <si>
    <t>Secondo l'art. 186, comma 2, quale quota percentuale dei contratti di lavori, servizi e forniture devono essere affidati mediante procedura ad evidenza pubblica dai titolari di concessioni già in essere di importo pari o superiore alla soglia di rilevanza europea?</t>
  </si>
  <si>
    <t>Almeno il 50%.</t>
  </si>
  <si>
    <t>Chi cura e gestisce il registro delle piattaforme di approvvigionamento digitale certificate?</t>
  </si>
  <si>
    <t>L'Autorità Nazionale Anticorruzione (ANAC).</t>
  </si>
  <si>
    <t>Quali sono le tre chiavi di accesso alla piattaforma empulia indicate nel testo?</t>
  </si>
  <si>
    <t>Albo fornitori on line; Gare telematiche; Negozio elettronico.</t>
  </si>
  <si>
    <t>Secondo la disciplina, per svolgere quali attività della legge regionale n. 37 del 1 agosto 2014 è utilizzato il servizio telematico Empulia?</t>
  </si>
  <si>
    <t>Per lo svolgimento delle attività di centrale di committenza previste dalla L.R. n. 37/2014: gestione del sistema regionale delle convenzioni (con negozio elettronico), del Sistema dinamico di acquisizione, dell'Albo online dei fornitori, della gestione telematica delle procedure di gara (aperte, ristrette e negoziate) e della pubblicazione/archiviazione delle gare tradizionali.</t>
  </si>
  <si>
    <t>Per quali tipologie di contratti le stazioni appaltanti e gli enti concedenti devono inserire specifiche clausole sociali nei bandi di gara, avvisi e inviti?</t>
  </si>
  <si>
    <t>Nei bandi, avvisi e inviti relativi a contratti pubblici di lavori, servizi e forniture (comprese le concessioni).</t>
  </si>
  <si>
    <t>Chi è responsabile del rispetto della normativa vigente sugli acquisti pubblici quando gli utenti utilizzano la piattaforma Empulia?</t>
  </si>
  <si>
    <t>L'amministrazione/ente che effettua l'acquisto (la stazione appaltante/committente).</t>
  </si>
  <si>
    <t>Cosa succede al peso del punteggio ereditato nella tabella dei criteri di valutazione tecnica se si escludono uno o più criteri ereditati sul rilancio competitivo?</t>
  </si>
  <si>
    <t>Il peso complessivo del punteggio ereditato viene ricalcolato: i criteri esclusi perdono il loro peso e la quota corrispondente viene riproporzionata sui criteri ereditati rimanenti, in modo che la somma dei pesi della tabella resti invariata.</t>
  </si>
  <si>
    <t>Quali informazioni vengono controllate automaticamente al momento dell'invio della nuova istanza per il rinnovo dell'iscrizione?</t>
  </si>
  <si>
    <t>La validità della casella PEC e della firma digitale e la corrispondenza dei dati identificativi dell'operatore (partita IVA/codice fiscale e dati della CCIAA).</t>
  </si>
  <si>
    <t>Chi è responsabile della predisposizione della documentazione e del rispetto delle disposizioni legislative per le gare telematiche svolte tramite la piattaforma empulia?</t>
  </si>
  <si>
    <t>La stazione appaltante (l'amministrazione aggiudicatrice) che indice la procedura.</t>
  </si>
  <si>
    <t>Entro quanti giorni lavorativi dalla presentazione dell’istanza completa il soggetto aggregatore deve effettuare l’istruttoria per l’iscrizione all’albo?</t>
  </si>
  <si>
    <t>Entro 20 giorni lavorativi.</t>
  </si>
  <si>
    <t>Secondo l'art. 197, chi è normalmente tenuto a sopportare il rischio del mancato o ritardato rilascio di autorizzazioni o altri atti amministrativi incidenti sul compimento o sulla gestione dell’opera?</t>
  </si>
  <si>
    <t>La stazione appaltante (l'amministrazione aggiudicatrice).</t>
  </si>
  <si>
    <t>Entro quanti giorni, al massimo, deve concludersi il dibattito pubblico dalla pubblicazione prevista al comma 3?</t>
  </si>
  <si>
    <t>180 giorni</t>
  </si>
  <si>
    <t>Qual è la differenza nell'azione del comando "invio" se l'utente collegato è il RUP rispetto a quando è un punto istruttore?</t>
  </si>
  <si>
    <t>Se l'utente è RUP, "invio" finalizza e inoltra definitivamente la pratica alla fase successiva (es. pubblicazione/avvio della procedura); se è un punto istruttore, "invio" semplicemente trasmette la pratica al RUP per verifica/approvazione senza avviare la fase definitiva.</t>
  </si>
  <si>
    <t>Quali indicazioni devono contenere i documenti di gara (o, in caso di dialogo competitivo, il bando o il documento descrittivo) riguardo ai criteri di valutazione e alla loro ponderazione?</t>
  </si>
  <si>
    <t>I documenti di gara (o, nel dialogo competitivo, il bando o il documento descrittivo) devono indicare in modo chiaro e non equivoco: i criteri di aggiudicazione (eventuali sottocriteri), la loro ponderazione relativa (espressa in percentuali o punteggi, ovvero la formula/algoritmo di conversione in punteggi), le modalità concrete di valutazione per ciascun criterio (parametri, scale di punteggio, soglie e regole applicative) e, se pertinente, il metodo di calcolo dell'incidenza del prezzo e le regole per il trattamento delle offerte anormalmente basse e delle varianti.</t>
  </si>
  <si>
    <t>Secondo l'art. 174, quali caratteristiche congiunte devono sussistere per qualificare un'operazione come partenariato pubblico-privato?</t>
  </si>
  <si>
    <t>Un partenariato pubblico‑privato si qualifica quando coesistono: una collaborazione di lungo termine tra amministrazione aggiudicatrice e operatore privato per la realizzazione e/o gestione di opere, beni o servizi, la partecipazione significativa del partner privato al finanziamento, il trasferimento al privato di rischi sostanziali (costruzione, funzionamento/domanda) e una remunerazione collegata alla performance o alla disponibilità dell'opera.</t>
  </si>
  <si>
    <t>Come si richiede e come viene gestita la compilazione e il ricevimento del DGUE per un operatore economico mandante, ausiliario o esecutore, secondo il manuale?</t>
  </si>
  <si>
    <t>La richiesta, compilazione e ricevimento del DGUE avvengono interamente via EmPULIA con questi passaggi:
- Richiesta: il soggetto che presenta l’offerta (es. mandatario/mandatario o capogruppo) nella procedura telematica attiva la funzione “Richiedi DGUE” indicando l’operatore economico mandante, ausiliario o esecutore e la sua PEC/email; la piattaforma invia all’operatore destinatario un invito con i riferimenti di gara e il link per compilare il DGUE.
- Compilazione: l’operatore destinatario accede alla sua area su EmPULIA con le proprie credenziali (CNS/SPID o altro sistema previsto), compila il DGUE online (o carica il DGUE predisposto) e lo sottoscrive digitalmente secondo le modalità previste; è possibile salvare bozze e completare prima dell’invio definitivo.
- Invio e ricevimento: al momento dell’invio il sistema registra timestamp e genera la ricevuta; il DGUE compilato viene automaticamente associato alla pratica dell’offerente principale e reso disponibile nella busta amministrativa elettronica; il richiedente riceve notifica di avvenuto ricevimento; se il DGUE non perviene o è incompleto, lo stato viene evidenziato in piattaforma per consentire azioni correttive prima della scadenza.
In sintesi: si richiede via funzione dedicata su EmPULIA, l’operatore destinatario compila e firma digitalmente il DGUE sulla piattaforma, e la piattaforma registra e consegna automaticamente il documento al capogruppo e alla stazione appaltante con ricevuta di avvenuto invio.</t>
  </si>
  <si>
    <t>In quali casi le stazioni appaltanti devono applicare un trattamento non meno favorevole agli operatori economici dei Paesi terzi firmatari dell'Accordo sugli Appalti Pubblici (AAP)?</t>
  </si>
  <si>
    <t>Quando l'appalto riguarda beni, servizi o lavori ricompresi nell'ambito di applicazione dell'Accordo sugli Appalti Pubblici (AAP) e il valore della procedura supera le soglie previste dall'Accordo, cioè ogniqualvolta l'appalto è soggetto all'apertura al mercato prevista dall'AAP.</t>
  </si>
  <si>
    <t>Quali sono le due modalità previste per inviare una richiesta integrativa agli operatori economici durante l'esame della documentazione pervenuta?</t>
  </si>
  <si>
    <t>Mediante posta elettronica certificata (PEC) o attraverso la piattaforma telematica di gara (sistema di trasmissione telematica di EmPULIA).</t>
  </si>
  <si>
    <t>Nel caso di aggiudicazione con il criterio dell'offerta economicamente più vantaggiosa, il RUP può partecipare alla commissione giudicatrice e può ricoprire la carica di presidente?</t>
  </si>
  <si>
    <t>No. Il RUP non può partecipare alla commissione giudicatrice né ricoprire la carica di presidente.</t>
  </si>
  <si>
    <t>Secondo l’articolo 21, comma 1, quali sono le fasi che, di norma, articolano il ciclo di vita digitale dei contratti pubblici?</t>
  </si>
  <si>
    <t>Le fasi, di norma, sono: programmazione; progettazione; procedure di scelta del contraente (affidamento); stipulazione del contratto; esecuzione; chiusura e rendicontazione.</t>
  </si>
  <si>
    <t>Cosa succede alle offerte telematiche pervenute oltre i termini previsti dalla lettera d’invito?</t>
  </si>
  <si>
    <t>Le offerte telematiche pervenute oltre i termini sono irricevibili: vengono escluse dalla procedura e non aperte né valutate.</t>
  </si>
  <si>
    <t>Chi è responsabile della predisposizione della documentazione e del rispetto delle disposizioni legislative per le procedure di gara telematiche effettuate tramite la piattaforma empulia?</t>
  </si>
  <si>
    <t>Quali passaggi deve seguire l’operatore economico per scaricare, firmare digitalmente e confermare un contratto sulla piattaforma Empulia?</t>
  </si>
  <si>
    <t>1) Accedi a EmPULIA con le credenziali abilitate (SPID/CNS/utenza fornita dalla piattaforma).  
2) Vai alla procedura/area “Contratti” o alla gara aggiudicata e scarica il file del contratto messo a disposizione.  
3) Apponi la firma elettronica qualificata richiesta (firma digitale PAdES/CAdES o tramite dispositivo/token o servizio di firma remota) sul file, rispettando il formato indicato dalla procedura.  
4) Carica il contratto firmato nell’apposita sezione della piattaforma (upload del documento firmato).  
5) Conferma e invia l’atto tramite il pulsante di conferma/invio disponibile; conserva la ricevuta/avviso di conferma rilasciato dalla piattaforma e la copia del contratto firmato.</t>
  </si>
  <si>
    <t>Domanda: Cosa deve contenere l'offerta se i soggetti partecipanti a un raggruppamento temporaneo o a un consorzio ordinario non sono ancora costituiti?</t>
  </si>
  <si>
    <t>L'offerta deve contenere l'impegno scritto e sottoscritto da tutti i partecipanti a costituire il raggruppamento/consorzio in caso di aggiudicazione, la designazione del mandatario (capogruppo) con il relativo mandato collettivo con rappresentanza, la ripartizione delle parti/quote di appalto attribuite a ciascun membro e la documentazione che attesti i requisiti di ciascun componente.</t>
  </si>
  <si>
    <t>Se un'impresa è qualificata nella categoria generale OG11, deve selezionare anche le categorie OS3, OS28 e OS30 sulla piattaforma EmPULIA per essere invitata alle procedure relative a quelle categorie specialistiche?</t>
  </si>
  <si>
    <t>Sì — per essere invitata alle procedure relative alle categorie specialistiche OS3, OS28 e OS30 deve selezionarle anche sulla piattaforma EmPULIA.</t>
  </si>
  <si>
    <t>Chi è responsabile della direzione e dell'esclusiva responsabilità delle procedure di gare telematiche effettuate tramite la piattaforma empulia?</t>
  </si>
  <si>
    <t>La stazione appaltante (l'amministrazione o ente che indice la gara) è responsabile della direzione e dell'esclusiva responsabilità delle procedure di gara telematiche svolte tramite EmPULIA.</t>
  </si>
  <si>
    <t>Secondo l'articolo 9, in quali circostanze la parte svantaggiata ha diritto alla rinegoziazione delle condizioni contrattuali?</t>
  </si>
  <si>
    <t>Quando, a causa di eventi sopravvenuti, imprevedibili e non imputabili alla parte stessa, si verifica un eccessivo aggravio dell'onere o uno squilibrio significativo delle prestazioni contrattuali a danno della parte svantaggiata, rendendo l'esecuzione impossibile o eccessivamente gravosa.</t>
  </si>
  <si>
    <t>In caso un’impresa invii più offerte telematiche entro il termine previsto, quale offerta sarà presa in considerazione?</t>
  </si>
  <si>
    <t>Si considera valida e presa in considerazione l’ultima offerta pervenuta entro il termine previsto.</t>
  </si>
  <si>
    <t>Chi è responsabile della predisposizione della documentazione e del rispetto delle disposizioni legislative nelle procedure di gare telematiche effettuate tramite la piattaforma empulia?</t>
  </si>
  <si>
    <t>La stazione appaltante (l'amministrazione aggiudicatrice/ente che indice la gara).</t>
  </si>
  <si>
    <t>Quali file deve scaricare, firmare digitalmente e riallegare l'operatore economico per poter abilitare il comando "conferma" di una convenzione?</t>
  </si>
  <si>
    <t>Il modulo di adesione/accettazione della convenzione (Atto di adesione) scaricato dalla piattaforma, firmato digitalmente e riallegato.</t>
  </si>
  <si>
    <t>Secondo il comma 2 dell'art. 66, per quale periodo le società possono documentare il possesso dei requisiti economico‑finanziari e tecnico‑organizzativi facendo riferimento ai requisiti dei soci o dei direttori tecnici?</t>
  </si>
  <si>
    <t>Per un periodo non superiore agli ultimi tre esercizi antecedenti la data di pubblicazione del bando o dell'avviso.</t>
  </si>
  <si>
    <t>Quali informazioni è possibile visualizzare tramite la seduta virtuale durante una procedura di gara?</t>
  </si>
  <si>
    <t>Durante la seduta virtuale è possibile visualizzare l'elenco dei partecipanti con i relativi accessi e ricevute/timestamp, l'apertura e il contenuto delle buste (documentazione amministrativa, offerta tecnica ed economica) ove previsto, gli allegati e documenti di gara, le comunicazioni e chiarimenti caricati in seduta, gli esiti delle valutazioni e la graduatoria provvisoria, nonché il verbale/atti della seduta.</t>
  </si>
  <si>
    <t>Chi è responsabile, in via esclusiva, delle eventuali violazioni della normativa sugli acquisti della pubblica amministrazione commesse tramite l'utilizzo della piattaforma Empulia?</t>
  </si>
  <si>
    <t>La stazione appaltante (l'amministrazione aggiudicatrice che effettua gli acquisti tramite la piattaforma).</t>
  </si>
  <si>
    <t>Cosa indica la spunta nella colonna TEC?</t>
  </si>
  <si>
    <t>Indica che è stata presentata (caricata) l'offerta tecnica (la documentazione tecnica).</t>
  </si>
  <si>
    <t>Se non è stata contestata formalmente e motivatamente la fondatezza della richiesta entro il termine di cui al terzo periodo, cosa fa la stazione appaltante in corso d’opera riguardo alle retribuzioni arretrate?</t>
  </si>
  <si>
    <t>Provvede a pagare direttamente agli aventi diritto le retribuzioni arretrate.</t>
  </si>
  <si>
    <t>Quale comando della toolbar si deve cliccare per rifiutare (annullare) il DGUE ricevuto se non è stato compilato correttamente?</t>
  </si>
  <si>
    <t>Rifiuta DGUE</t>
  </si>
  <si>
    <t>Quale comando bisogna cliccare per richiedere la compilazione del DGUE da parte dell'operatore economico mandante, ausiliario o esecutore?</t>
  </si>
  <si>
    <t>Cliccare su "Richiedi compilazione DGUE".</t>
  </si>
  <si>
    <t>Quando viene svolta la manutenzione ordinaria della piattaforma Empulia?</t>
  </si>
  <si>
    <t>Non è indicato nelle informazioni a mia disposizione quando viene svolta la manutenzione ordinaria della piattaforma EmPULIA.</t>
  </si>
  <si>
    <t>Secondo l’art. 105, quali elementi sono disciplinati nell’allegato II.8?</t>
  </si>
  <si>
    <t>Non posso rispondere con precisione senza il riferimento normativo completo (es. quale decreto/anno contiene l'art. 105) o il testo dell'art. 105 stesso.</t>
  </si>
  <si>
    <t>Chi ha approvato la Versione 1.7 della disciplina e in quale data?</t>
  </si>
  <si>
    <t>Non dispongo dell'informazione richiesta: non ho dati su chi ha approvato la Versione 1.7 della disciplina né sulla relativa data.</t>
  </si>
  <si>
    <t>Per quali scopi le stazioni appaltanti possono svolgere consultazioni preliminari di mercato ai sensi dell'art. 77?</t>
  </si>
  <si>
    <t>Per acquisire informazioni e orientamenti dal mercato utili a preparare, definire e ottimizzare la successiva procedura di gara: individuare il fabbisogno e le specifiche tecniche, esplorare soluzioni e innovazioni, verificare la capacità degli operatori e le modalità di approvvigionamento (anche per favorire la partecipazione delle PMI).</t>
  </si>
  <si>
    <t>Cosa accade alle offerte telematiche pervenute oltre il termine previsto dalla lettera d’invito sulla piattaforma empulia?</t>
  </si>
  <si>
    <t>Le offerte telematiche pervenute oltre il termine previsto vengono considerate tardive e non ammesse alla gara (escluse dalla valutazione).</t>
  </si>
  <si>
    <t>Secondo l'art. 148, comma 2, quali due condizioni devono concorrere perché l'alimentazione con acqua potabile di reti fisse non sia considerata un'attività di cui al comma 1?</t>
  </si>
  <si>
    <t>Quando concorrano congiuntamente: (1) che l'acqua sia fornita per l'autoconsumo (ovvero non sia immessa nel mercato né destinata alla vendita/distribuzione a terzi) e (2) che la fornitura non abbia carattere economico (ossia sia effettuata senza scopo di lucro).</t>
  </si>
  <si>
    <t>Qual è il numero minimo di candidati che la stazione appaltante non può invitare a presentare un'offerta nelle procedure ristrette?</t>
  </si>
  <si>
    <t>Quando la richiesta di abilitazione viene confermata, da quale fase passa a quale fase?</t>
  </si>
  <si>
    <t>Passa dalla fase "In attesa di conferma" alla fase "Abilitata".</t>
  </si>
  <si>
    <t>Per quale motivo i partecipanti devono anonimizzare e pulire i metadati dei file PDF caricati nella busta documentazione tecnica?</t>
  </si>
  <si>
    <t>Per evitare che informazioni nascoste nei metadati (autore, azienda, commenti, revisioni, nomi file, ecc.) rivelino l'identità o dati riservati dell'offerente, compromettendo l'anonimato, l'imparzialità della valutazione e la regolarità della gara.</t>
  </si>
  <si>
    <t>Qual è la dimensione massima consentita per ciascun file da caricare nel sistema EmPULIA?</t>
  </si>
  <si>
    <t>Non dispongo dell'informazione: la dimensione massima per ciascun file non è indicata nella documentazione a mia disposizione.</t>
  </si>
  <si>
    <t>Secondo l'art. 5 riportato, in quali circostanze l'affidamento dell'operatore economico non si considera incolpevole?</t>
  </si>
  <si>
    <t>Non si considera incolpevole quando l'operatore economico ha agito con colpa o dolo — ad esempio dichiarazioni false o omissive, frodi o manipolazioni della gara, partecipazione a intese anticoncorrenziali o gravi inadempienze contrattuali imputabili a sua responsabilità.</t>
  </si>
  <si>
    <t>La piattaforma EmPULIA permette l'accesso simultaneo con le stesse credenziali da due postazioni diverse? Se no, cosa succede quando si prova ad accedere?</t>
  </si>
  <si>
    <t>No. EmPULIA non permette accessi simultanei con le stesse credenziali: tentando il login da una seconda postazione la nuova connessione disconnette automaticamente la sessione precedente (viene mostrato un avviso che la sessione precedente è terminata).</t>
  </si>
  <si>
    <t>Chi rimborsa le spese per la pubblicazione obbligatoria degli avvisi e dei bandi di gara e entro quale termine?</t>
  </si>
  <si>
    <t>Le spese sono rimborsate dall'amministrazione/stazione appaltante che richiede la pubblicazione e devono essere liquidate entro 30 giorni dalla ricezione della fattura o richiesta di pagamento.</t>
  </si>
  <si>
    <t>Quale comando nella toolbar bisogna cliccare per inviare la risposta alla comunicazione?</t>
  </si>
  <si>
    <t>Quali sono le due modalità indicate per visualizzare il contenuto di una comunicazione?</t>
  </si>
  <si>
    <t>Visualizzazione online (anteprima) e download/salvataggio dell'allegato.</t>
  </si>
  <si>
    <t>Cosa succede se, entro il termine previsto, una stessa ditta invia più offerte telematiche sulla piattaforma Empulia?</t>
  </si>
  <si>
    <t>Viene considerata valida soltanto l'ultima offerta inviata e ricevuta entro il termine; le precedenti vengono ignorate.</t>
  </si>
  <si>
    <t>Quali sono i requisiti minimi del browser necessari per utilizzare correttamente il Portale EmPULIA?</t>
  </si>
  <si>
    <t>Un browser moderno e aggiornato (ultime versioni di Chrome, Firefox, Edge o Safari) con JavaScript e cookie abilitati, supporto TLS 1.2+ e pop‑up consentiti per i download, lettore PDF installato e — se si utilizza la firma digitale — supporto per i relativi componenti/estensioni/driver (es. software di firma, smart card/PIN).</t>
  </si>
  <si>
    <t>Chi è responsabile delle procedure di gare telematiche effettuate tramite la piattaforma Empulia?</t>
  </si>
  <si>
    <t>La stazione appaltante (l’amministrazione che indice la gara).</t>
  </si>
  <si>
    <t>Qual è la differenza principale tra "avviso aperto" e "avviso con destinatari" nella fase preliminare dell'affidamento diretto?</t>
  </si>
  <si>
    <t>L'avviso aperto è pubblicato e rivolto a tutti gli operatori interessati (pubblico), mentre l'avviso con destinatari è inviato/indirizzato solo a operatori specifici previamente selezionati (mirato).</t>
  </si>
  <si>
    <t>Cosa devono fare gli utenti in caso di malfunzionamento informatico della piattaforma Empulia?</t>
  </si>
  <si>
    <t>Contattare immediatamente l'Assistenza Tecnica/Help Desk di EmPULIA tramite i canali ufficiali indicati sulla piattaforma (form di segnalazione, PEC o telefono), fornendo descrizione dettagliata del malfunzionamento, orari/timestamp, eventuali screenshot/log e richiedendo l'apertura di un ticket; se il problema impedisce la partecipazione a una gara avvisare contestualmente InnovaPuglia/la stazione appaltante.</t>
  </si>
  <si>
    <t>Chi è responsabile della predisposizione della documentazione e della conduzione delle procedure di gara telematiche effettuate tramite la piattaforma empulia?</t>
  </si>
  <si>
    <t>La stazione appaltante (la pubblica amministrazione che indice la gara).</t>
  </si>
  <si>
    <t>In quali casi, secondo l'art. 211, si applicano le disposizioni dell'articolo 210 ai contratti di servizi e di fornitura continuativa o periodica di beni?</t>
  </si>
  <si>
    <t>Quando la durata complessiva del contratto supera i dodici mesi.</t>
  </si>
  <si>
    <t>Secondo l'art. 82, in caso di contrasto tra le disposizioni contenute nei documenti di gara elencati al comma 1, quale documento prevale?</t>
  </si>
  <si>
    <t>Prevale il bando o, se presente, l'avviso di indizione della gara.</t>
  </si>
  <si>
    <t>Quale requisito di registrazione è richiesto per gli operatori economici che partecipano in RTI, avvalimento o consorzio?</t>
  </si>
  <si>
    <t>Devono essere iscritti singolarmente all'Albo fornitori online (registrazione individuale di ciascun operatore).</t>
  </si>
  <si>
    <t>Quali sono le forme associate previste per la partecipazione ad una procedura, indicate nel manuale?</t>
  </si>
  <si>
    <t>Imprese singole; raggruppamento temporaneo di imprese (RTI/ATI) costituito o da costituire; consorzi (inclusi consorzi stabili e consorzi di cooperative); Gruppo europeo di interesse economico (GEIE); joint venture/associazioni temporanee di imprese.</t>
  </si>
  <si>
    <t>Secondo l'art. 202, quali sono le opzioni che il bando di gara può prevedere riguardo al trasferimento di immobili come corrispettivo e quale garanzia è richiesta se la proprietà viene trasferita prima della fine dei lavori?</t>
  </si>
  <si>
    <t>Il bando può prevedere che il corrispettivo consista nella cessione della proprietà degli immobili ovvero nella costituzione di diritti reali di godimento sugli immobili (es. diritto di superficie, usufrutto); se la proprietà è trasferita prima dell'ultimazione dei lavori è richiesta una garanzia fideiussoria a favore della stazione appaltante a tutela del completamento dei lavori e del risarcimento di eventuali danni.</t>
  </si>
  <si>
    <t>Chi è responsabile della predisposizione della documentazione e del rispetto delle disposizioni legislative per le gare telematiche effettuate tramite la piattaforma Empulia?</t>
  </si>
  <si>
    <t>Secondo l’art. 96, comma 6, quali prove e quali misure deve fornire un operatore economico per dimostrare la propria affidabilità e quindi evitare l’esclusione dalla procedura d’appalto?</t>
  </si>
  <si>
    <t>Secondo l’art. 96, comma 6, l’operatore economico può dimostrare la propria affidabilità — e quindi evitare l’esclusione — mediante la presentazione di prove e misure idonee quali: sentenze o provvedimenti che attestino l’estinzione del reato o la non configurabilità del fatto; la costituzione di parte civile e il risarcimento del danno; la collaborazione concreta con l’autorità giudiziaria; l’adozione ed effettiva attuazione di idonei modelli organizzativi e di gestione e procedure di compliance (ad es. modelli ai sensi del D.Lgs. 231/2001), sistemi di controllo interno e misure di prevenzione; certificazioni o attestazioni rilasciate da organismi indipendenti e ogni altra documentazione probatoria che dimostri l’avvenuta rimozione o attenuazione del rischio di recidiva e l’affidabilità dell’operatore.</t>
  </si>
  <si>
    <t>Secondo l'art. 227, in che modo devono essere attuati gli interventi normativi che incidono sulle disposizioni del codice e dei suoi allegati?</t>
  </si>
  <si>
    <t>Devono essere attuati mediante disposizioni di coordinamento che riportino in modo integrale e coordinato il testo aggiornato del codice e dei suoi allegati.</t>
  </si>
  <si>
    <t>Quali utenti, secondo il manuale, possono creare un concorso e quali possono approvarlo e pubblicarlo sulla piattaforma empulia?</t>
  </si>
  <si>
    <t>Secondo il manuale, possono creare un concorso gli utenti con ruolo "Proponente/Redattore" (operatori che compilano la procedura); possono approvarlo e pubblicarlo solo gli utenti con ruolo autorizzato "Responsabile del Procedimento/Firmatario" o l'Amministratore/Dirigente abilitato alla pubblicazione.</t>
  </si>
  <si>
    <t>Qual è il limite massimo previsto per l'immediata esecuzione dei lavori in caso di somma urgenza, secondo l'art. 140 del testo?</t>
  </si>
  <si>
    <t>40.000 euro.</t>
  </si>
  <si>
    <t>Nella prima fase di un concorso di progettazione in due fasi, quale punteggio deve assegnare la commissione per ciascuna idea e a quale scopo viene utilizzato questo punteggio?</t>
  </si>
  <si>
    <t>Deve attribuire a ciascuna idea un punteggio numerico (es. in centesimi, 0–100) e tale punteggio è utilizzato esclusivamente per la preselezione e la classificazione che individua i progetti ammessi alla seconda fase.</t>
  </si>
  <si>
    <t>Cosa succede se si tenta di caricare un secondo file sulla stessa riga nella tabella "lista allegati"?</t>
  </si>
  <si>
    <t>Il secondo file sovrascrive (sostituisce) il primo allegato presente sulla stessa riga.</t>
  </si>
  <si>
    <t>Chi è responsabile del rispetto della normativa sugli acquisti della pubblica amministrazione quando gli utenti utilizzano la piattaforma Empulia?</t>
  </si>
  <si>
    <t>La stazione appaltante (l'amministrazione pubblica che utilizza EmPULIA) è responsabile del rispetto della normativa sugli acquisti.</t>
  </si>
  <si>
    <t>Chi può disporre la sospensione dell'esecuzione dei lavori e in quali circostanze, secondo l'art. 121?</t>
  </si>
  <si>
    <t>Secondo l'art. 121 del Codice dei contratti (D.lgs. 50/2016) la sospensione dell'esecuzione dei lavori può essere disposta dalla stazione appaltante o dal direttore dei lavori e può essere adottata per esigenze di pubblico interesse o di sicurezza, per cause di forza maggiore, per accertamenti o verifiche tecniche e per gravi inadempienze o difformità dell'appaltatore (con conseguente disciplina dei termini e degli eventuali ristori).</t>
  </si>
  <si>
    <t>La piattaforma EmPULIA consente a un operatore economico di accedere simultaneamente da due postazioni autenticandosi con le stesse credenziali?</t>
  </si>
  <si>
    <t>No, EmPULIA non consente l'accesso simultaneo con le stesse credenziali da due postazioni.</t>
  </si>
  <si>
    <t>Secondo l'art. 62, comma 7, quali attività possono svolgere le centrali di committenza in relazione ai requisiti di qualificazione posseduti?</t>
  </si>
  <si>
    <t>Possono svolgere attività di qualificazione degli operatori economici, comprensive della tenuta di albi/elenchi, della verifica dei requisiti e del rilascio di attestazioni o certificazioni che comprovano il possesso dei requisiti.</t>
  </si>
  <si>
    <t>Chi è responsabile della direzione e della esclusiva responsabilità delle procedure di gare telematiche effettuate tramite la piattaforma empulia?</t>
  </si>
  <si>
    <t>La stazione appaltante (l'amministrazione procedente) è responsabile della direzione e della esclusiva responsabilità delle procedure di gara telematiche effettuate tramite EmPULIA.</t>
  </si>
  <si>
    <t>Quali campi sono obbligatori da completare nel modulo "informazioni sulla partecipazione ai lotti"?</t>
  </si>
  <si>
    <t>Non dispongo della lista aggiornata dei campi obbligatori del modulo "informazioni sulla partecipazione ai lotti" su EmPULIA; verifica il Manuale utente EmPULIA o contatta il supporto tecnico di InnovaPuglia per l'elenco preciso.</t>
  </si>
  <si>
    <t>Secondo la formula 2.10 (massimo spread a scalino), quale punteggio P viene assegnato se (vmax off − voff) * α ≥ pmax?</t>
  </si>
  <si>
    <t>P = 0</t>
  </si>
  <si>
    <t>La piattaforma EmPULIA consente l'accesso simultaneo da due postazioni autenticandosi con le stesse credenziali?</t>
  </si>
  <si>
    <t>Sì.</t>
  </si>
  <si>
    <t>Secondo l'art. 155, comma 3, con quali modalità può essere indetta la gara?</t>
  </si>
  <si>
    <t>Mediante pubblicazione di bando o di avviso.</t>
  </si>
  <si>
    <t>Le offerte telematiche pervenute oltre il termine indicato nella lettera d’invito sono escluse dal procedimento e non vengono prese in considerazione.</t>
  </si>
  <si>
    <t>Chi è responsabile della predisposizione della documentazione e del rispetto delle disposizioni nelle procedure di gara telematiche effettuate tramite la piattaforma empulia?</t>
  </si>
  <si>
    <t>In quali condizioni la piattaforma provvede all'esclusione automatica delle offerte anomale?</t>
  </si>
  <si>
    <t>La piattaforma esclude automaticamente le offerte anomale quando il valore economico inserito risulta manifestamente anomalo secondo i controlli automatici (es. prezzo pari a zero o sconto ≥100% o valore inferiore alla soglia di anomalia calcolata automaticamente in base alle offerte ricevute).</t>
  </si>
  <si>
    <t>Cosa succede a una comunicazione ricevuta se l'operatore economico accede all'area riservata dopo la data indicata come termine per la visualizzazione?</t>
  </si>
  <si>
    <t>La comunicazione si considera non ricevuta (inefficace): l'accesso successivo al termine per la visualizzazione non ne produce effetti.</t>
  </si>
  <si>
    <t>Cosa bisogna fare se, al caricamento del file .xlsx, la compilazione della tabella elenco prodotti presenta anomalie?</t>
  </si>
  <si>
    <t>Scarica il file di controllo/errori generato dal sistema, correggi le anomalie nel file .xlsx rispettando il template (campi obbligatori, formati numerici e date, nessun campo unito o formule non consentite ecc.) e ricarica il file corretto.</t>
  </si>
  <si>
    <t>Secondo l'articolo 119, comma 4, quali condizioni devono essere soddisfatte affinché la stazione appaltante autorizzi il subappalto?</t>
  </si>
  <si>
    <t>La stazione appaltante autorizza il subappalto solo se, in sede di offerta, il concorrente ha indicato i subappaltatori e le parti dell'appalto da subappaltare, ha prodotto la documentazione che attesti il possesso dei requisiti richiesti da tali subappaltatori (restando il concorrente comunque responsabile dell'esecuzione) e sempre nel rispetto dei limiti percentuali previsti dalla normativa.</t>
  </si>
  <si>
    <t>Quali sono gli stati che una consultazione preliminare può assumere, secondo il testo?</t>
  </si>
  <si>
    <t>Il testo non indica gli stati che può assumere una consultazione preliminare.</t>
  </si>
  <si>
    <t>Entro quanti giorni lavorativi il soggetto aggregatore deve effettuare l'istruttoria dell'istanza di iscrizione all'albo dalla data di presentazione dell'istanza completa degli allegati?</t>
  </si>
  <si>
    <t>15 giorni lavorativi</t>
  </si>
  <si>
    <t>Quali sono i passaggi principali che un utente migrato deve seguire per completare la profilazione sulla nuova piattaforma empulia?</t>
  </si>
  <si>
    <t>1) Accedere al nuovo portale EmPulia con le credenziali migrate o tramite SPID/CNS/PEC;  
2) completare l'attivazione account seguendo la procedura di migrazione/recupero e accettare termini e condizioni;  
3) aggiornare i dati anagrafici e societari (ragione sociale, CF/P.IVA, sede, rappresentante legale);  
4) caricare i documenti obbligatori (visura camerale, documento d’identità del legale rappresentante, eventuali certificazioni e deleghe richieste);  
5) configurare ruoli e deleghe degli utenti interni e collegare eventuali firme digitali;  
6) compilare le informazioni operative (categorie CPV, qualificazioni, dati bancari/contabili se richiesti);  
7) inviare la richiesta di validazione/profilazione e attendere la conferma di attivazione da parte di EmPulia.</t>
  </si>
  <si>
    <t>Chi è responsabile della predisposizione della documentazione e del rispetto delle disposizioni legislative e regolamentari nelle procedure di gare telematiche svolte tramite la piattaforma empulia?</t>
  </si>
  <si>
    <t>La stazione appaltante (l'amministrazione contraente che indice la gara).</t>
  </si>
  <si>
    <t>Quali modalità di firma digitale supporta la piattaforma EmPULIA e in cosa differiscono?</t>
  </si>
  <si>
    <t>EmPULIA supporta: 
1) firma digitale “locale” (smart card/CNS o token USB con certificato qualificato) — il certificato e la chiave privata sono memorizzati su un dispositivo fisico collegato al PC; occorrono driver/middleware e lettore; la firma viene apposta localmente sul documento (es. CAdES/PAdES).  
2) firma digitale remota (firma cloud) — la chiave privata è custodita dal provider accreditato in remoto e la firma viene apposta via web/OTP o meccanismo equivalente; non serve hardware locale ma è richiesto l’accesso al servizio di firma remota.  
In entrambi i casi, se viene usato un certificato qualificato la validità giuridica è equivalente; le differenze principali riguardano dove è conservata la chiave privata (locale vs cloud), i requisiti tecnici/di middleware, l’usabilità e la gestione delle credenziali/OTP. Inoltre la piattaforma consente l’uso della Posta Elettronica Certificata (PEC) per la trasmissione certificata dei documenti.</t>
  </si>
  <si>
    <t>Quale percentuale delle risorse di cui al comma 2, escluse le risorse derivanti da finanziamenti europei o da altri finanziamenti a destinazione vincolata, è destinata ai fini di cui ai commi 6 e 7?</t>
  </si>
  <si>
    <t>Non è possibile rispondere senza l’indicazione della norma di riferimento: il testo non specifica a quale articolo/legge si riferiscano il comma 2 e i commi 6 e 7.</t>
  </si>
  <si>
    <t>Secondo l'art. 84, tramite quale strumento le stazioni appaltanti devono trasmettere all'Ufficio delle pubblicazioni dell'Unione europea i bandi e gli avvisi relativi ad appalti di importo pari o superiore alle soglie di cui all'articolo 14?</t>
  </si>
  <si>
    <t>Tramite il sistema informatico predisposto dall'Ufficio delle pubblicazioni dell'Unione europea (servizio e-Notification/TED).</t>
  </si>
  <si>
    <t>Quali informazioni vengono mostrate nella sezione "informazioni amministrative" della seduta virtuale?</t>
  </si>
  <si>
    <t>Nella sezione "informazioni amministrative" della seduta virtuale sono indicate data e ora della seduta, modalità/luogo, riferimenti procedurali (es. CIG/CUP), oggetto della gara e stazione appaltante, i componenti della commissione e i partecipanti con i rispettivi ruoli, oltre ai documenti e alle comunicazioni amministrative rilevanti.</t>
  </si>
  <si>
    <t>Cosa indica la spunta nella colonna TEC e quali stati può assumere la colonna "stato offerta" dopo la valutazione tecnica?</t>
  </si>
  <si>
    <t>La spunta nella colonna TEC indica che l'offerta ha superato la valutazione tecnica; dopo la valutazione tecnica lo "stato offerta" può essere "Ammessa" (ammissibile) oppure "Non ammessa" (non ammissibile).</t>
  </si>
  <si>
    <t>Quali sono i tre esiti che l'agenzia può comunicare dopo la valutazione della richiesta di abilitazione allo SDA?</t>
  </si>
  <si>
    <t>Abilitazione; Abilitazione con riserva; Non abilitazione.</t>
  </si>
  <si>
    <t>Quali sono le quattro tabelle che consentono la configurazione del modello di offerta?</t>
  </si>
  <si>
    <t>Le quattro tabelle sono: Tabella Dati Offerta, Tabella Componenti Economiche, Tabella Parametri Tecnici e Tabella Criteri di Valutazione.</t>
  </si>
  <si>
    <t>Quali sono gli stati che può assumere una richiesta di accesso al FVOE e cosa indica ciascuno di essi?</t>
  </si>
  <si>
    <t>Gli stati e il loro significato sono:
- Inviata: la richiesta è stata inoltrata dal richiedente ed è in attesa di presa in carico.  
- In istruttoria (o In valutazione): la richiesta è in fase di verifica da parte dell’amministrazione/gestore del FVOE.  
- Richiesta integrazione: sono necessari documenti o informazioni aggiuntive; il richiedente deve integrare la richiesta.  
- Accettata (o Approvata / Consentita): l’accesso al FVOE è stato autorizzato.  
- Rifiutata (o Respinta): la richiesta è stata respinta e l’accesso non è autorizzato.  
- Revocata (o Annullata): un accesso precedentemente autorizzato è stato revocato o la richiesta è stata annullata.  
- Scaduta: il termine per l’autorizzazione è passato e la richiesta non è più valida.</t>
  </si>
  <si>
    <t>La piattaforma EmPULIA consente l'accesso simultaneo con le stesse credenziali da due postazioni diverse?</t>
  </si>
  <si>
    <t>No, la piattaforma EmPULIA non consente l'accesso simultaneo con le stesse credenziali da due postazioni diverse.</t>
  </si>
  <si>
    <t>Chi può chiedere di essere qualificato e quando, secondo l'articolo 168?</t>
  </si>
  <si>
    <t>Gli operatori economici interessati possono chiedere di essere qualificati, in qualsiasi momento (l'iscrizione all'albo è sempre aperta).</t>
  </si>
  <si>
    <t>Entro quanti giorni devono essere effettuati i pagamenti relativi agli acconti del corrispettivo nei contratti di lavori, a partire dall’adozione di ogni stato di avanzamento?</t>
  </si>
  <si>
    <t>Quali funzioni svolgono, rispettivamente, il disciplinare di gara e il capitolato speciale?</t>
  </si>
  <si>
    <t>Il disciplinare di gara disciplina gli aspetti amministrativi e procedurali della procedura (requisiti di partecipazione, modalità e termini di presentazione delle offerte, documentazione, cauzioni, criteri e modalità di valutazione e aggiudicazione, esclusioni e comunicazioni), mentre il capitolato speciale definisce le specifiche tecniche e prestazionali dell'appalto e le modalità di esecuzione, consegna, collaudo, manutenzione e le obbligazioni tecniche e penali del contraente.</t>
  </si>
  <si>
    <t>Quali comandi sono presenti nella toolbar per la gestione dei riscontri e a cosa servono?</t>
  </si>
  <si>
    <t>I comandi della toolbar per la gestione dei riscontri e la loro funzione sono: 
- Nuovo/Inserisci: crea un nuovo riscontro; 
- Visualizza/Apri: apre il riscontro selezionato per consultazione; 
- Modifica: consente di editare il riscontro prima dell’invio o salvataggio; 
- Salva/Salva bozza: salva le modifiche senza inviare; 
- Invia/Trasmetti: invia ufficialmente il riscontro al destinatario; 
- Annulla/Revoca invio: annulla o revoca un invio se consentito; 
- Elimina: rimuove il riscontro (definitivo o da bozze); 
- Allegati/Gestione file: consente di aggiungere, rimuovere o scaricare allegati; 
- Scarica/Esporta (PDF/ZIP): esporta il riscontro o la documentazione associata; 
- Stampa: stampa il riscontro in formato cartaceo; 
- Filtra/Ricerca: applica filtri o ricerca per trovare riscontri specifici; 
- Aggiorna/Ricarica: aggiorna la lista per visualizzare eventuali cambiamenti; 
- Cronologia/Log: mostra la storia delle azioni e le versioni del riscontro.</t>
  </si>
  <si>
    <t>È obbligatorio utilizzare la firma digitale per il corretto caricamento e l'invio telematico dell'offerta su EmPULIA?</t>
  </si>
  <si>
    <t>Sì, è obbligatorio: le procedure telematiche su EmPULIA richiedono l'uso della firma digitale per il corretto caricamento e invio dell'offerta.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</si>
</sst>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3">
    <font>
      <sz val="10.0"/>
      <color rgb="FF000000"/>
      <name val="Arial"/>
      <scheme val="minor"/>
    </font>
    <font>
      <color theme="1"/>
      <name val="Arial"/>
      <scheme val="minor"/>
    </font>
    <font>
      <color theme="1"/>
      <name val="Arial"/>
    </font>
  </fonts>
  <fills count="3">
    <fill>
      <patternFill patternType="none"/>
    </fill>
    <fill>
      <patternFill patternType="lightGray"/>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vertical="bottom"/>
    </xf>
    <xf borderId="1" fillId="0" fontId="2" numFmtId="0" xfId="0" applyAlignment="1" applyBorder="1" applyFont="1">
      <alignment horizontal="center" vertical="bottom"/>
    </xf>
    <xf borderId="1" fillId="0" fontId="2" numFmtId="0" xfId="0" applyAlignment="1" applyBorder="1" applyFont="1">
      <alignment horizontal="center" vertical="bottom"/>
    </xf>
    <xf borderId="0" fillId="0" fontId="1" numFmtId="0" xfId="0" applyAlignment="1" applyFont="1">
      <alignment horizontal="center" readingOrder="0"/>
    </xf>
    <xf borderId="1" fillId="0" fontId="2" numFmtId="0" xfId="0" applyAlignment="1" applyBorder="1" applyFont="1">
      <alignment vertical="bottom"/>
    </xf>
    <xf borderId="1" fillId="0" fontId="1" numFmtId="0" xfId="0" applyAlignment="1" applyBorder="1" applyFont="1">
      <alignment readingOrder="0"/>
    </xf>
    <xf borderId="0" fillId="0" fontId="1" numFmtId="0" xfId="0" applyAlignment="1" applyFont="1">
      <alignment horizontal="center"/>
    </xf>
    <xf borderId="0" fillId="0" fontId="1" numFmtId="164" xfId="0" applyAlignment="1" applyFont="1" applyNumberFormat="1">
      <alignment readingOrder="0"/>
    </xf>
    <xf borderId="0" fillId="0" fontId="1"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7" max="11" width="22.63"/>
    <col customWidth="1" min="12" max="12" width="21.13"/>
    <col customWidth="1" min="13" max="13" width="14.75"/>
  </cols>
  <sheetData>
    <row r="1">
      <c r="A1" s="1"/>
      <c r="C1" s="1"/>
      <c r="D1" s="1"/>
      <c r="E1" s="1"/>
      <c r="F1" s="1"/>
      <c r="G1" s="2" t="s">
        <v>0</v>
      </c>
      <c r="H1" s="3" t="s">
        <v>1</v>
      </c>
      <c r="I1" s="3" t="s">
        <v>2</v>
      </c>
      <c r="J1" s="4" t="s">
        <v>3</v>
      </c>
      <c r="K1" s="4" t="s">
        <v>4</v>
      </c>
      <c r="L1" s="5"/>
      <c r="M1" s="5"/>
    </row>
    <row r="2">
      <c r="A2" s="1"/>
      <c r="C2" s="1"/>
      <c r="D2" s="1"/>
      <c r="E2" s="1"/>
      <c r="F2" s="1"/>
      <c r="G2" s="6" t="s">
        <v>5</v>
      </c>
      <c r="H2" s="3">
        <f>ROUND(AVERAGE(F:F), 2)</f>
        <v>0.29</v>
      </c>
      <c r="I2" s="3">
        <f>SUM(F:F)</f>
        <v>40</v>
      </c>
      <c r="J2" s="4">
        <f>COUNTIF(F:F, 0)</f>
        <v>99</v>
      </c>
      <c r="K2" s="4">
        <f t="shared" ref="K2:K7" si="1">SUM(I2,J2)</f>
        <v>139</v>
      </c>
      <c r="L2" s="5"/>
      <c r="M2" s="5"/>
    </row>
    <row r="3">
      <c r="A3" s="1"/>
      <c r="C3" s="1"/>
      <c r="D3" s="1"/>
      <c r="E3" s="1"/>
      <c r="F3" s="1"/>
      <c r="G3" s="6" t="s">
        <v>6</v>
      </c>
      <c r="H3" s="3">
        <f>ROUND(AVERAGEIF(C:C, "DisciplinaDiUtilizzo", F:F), 2)</f>
        <v>0.38</v>
      </c>
      <c r="I3" s="3">
        <f>SUMIF(C:C, "DisciplinaDiUtilizzo", F:F)</f>
        <v>12</v>
      </c>
      <c r="J3" s="4">
        <f>COUNTIFS(C:C, "DisciplinaDiUtilizzo", F:F, 0)</f>
        <v>20</v>
      </c>
      <c r="K3" s="4">
        <f t="shared" si="1"/>
        <v>32</v>
      </c>
      <c r="L3" s="5"/>
      <c r="M3" s="5"/>
    </row>
    <row r="4">
      <c r="A4" s="1"/>
      <c r="C4" s="1"/>
      <c r="D4" s="1"/>
      <c r="E4" s="1"/>
      <c r="F4" s="1"/>
      <c r="G4" s="6" t="s">
        <v>7</v>
      </c>
      <c r="H4" s="3">
        <f>ROUND(AVERAGEIF(C:C, "CodiceAppalti", F:F) , 2)</f>
        <v>0.32</v>
      </c>
      <c r="I4" s="3">
        <f>SUMIF(C:C, "CodiceAppalti", F:F)</f>
        <v>15</v>
      </c>
      <c r="J4" s="4">
        <f>COUNTIFS(C:C, "CodiceAppalti", F:F, 0)</f>
        <v>32</v>
      </c>
      <c r="K4" s="4">
        <f t="shared" si="1"/>
        <v>47</v>
      </c>
      <c r="L4" s="5"/>
      <c r="M4" s="5"/>
    </row>
    <row r="5">
      <c r="A5" s="1"/>
      <c r="C5" s="1"/>
      <c r="D5" s="1"/>
      <c r="E5" s="1"/>
      <c r="F5" s="1"/>
      <c r="G5" s="6" t="s">
        <v>8</v>
      </c>
      <c r="H5" s="3">
        <f>ROUND(AVERAGEIF(C:C, "FAQ", F:F), 2)</f>
        <v>0.5</v>
      </c>
      <c r="I5" s="3">
        <f>SUMIF(C:C, "FAQ", F:F)</f>
        <v>6</v>
      </c>
      <c r="J5" s="4">
        <f>COUNTIFS(C:C, "FAQ", F:F, 0)</f>
        <v>6</v>
      </c>
      <c r="K5" s="4">
        <f t="shared" si="1"/>
        <v>12</v>
      </c>
      <c r="L5" s="5"/>
      <c r="M5" s="5"/>
    </row>
    <row r="6">
      <c r="A6" s="1"/>
      <c r="C6" s="1"/>
      <c r="D6" s="1"/>
      <c r="E6" s="1"/>
      <c r="F6" s="1"/>
      <c r="G6" s="6" t="s">
        <v>9</v>
      </c>
      <c r="H6" s="3">
        <f>ROUND(AVERAGEIF(C:C, "GuidePraticheOE", F:F), 2)</f>
        <v>0.1</v>
      </c>
      <c r="I6" s="3">
        <f>SUMIF(C:C, "GuidePraticheOE", F:F)</f>
        <v>3</v>
      </c>
      <c r="J6" s="4">
        <f>COUNTIFS(C:C, "GuidePraticheOE", F:F, 0)</f>
        <v>26</v>
      </c>
      <c r="K6" s="4">
        <f t="shared" si="1"/>
        <v>29</v>
      </c>
      <c r="L6" s="5"/>
      <c r="M6" s="5"/>
    </row>
    <row r="7">
      <c r="A7" s="1"/>
      <c r="C7" s="1"/>
      <c r="D7" s="1"/>
      <c r="E7" s="1"/>
      <c r="F7" s="1"/>
      <c r="G7" s="6" t="s">
        <v>10</v>
      </c>
      <c r="H7" s="3">
        <f>ROUND(AVERAGEIF(C:C, "GuidePraticheSA", F:F), 2)</f>
        <v>0.21</v>
      </c>
      <c r="I7" s="3">
        <f>SUMIF(C:C, "GuidePraticheSA", F:F)</f>
        <v>4</v>
      </c>
      <c r="J7" s="4">
        <f>COUNTIFS(C:C, "GuidePraticheSA", F:F, 0)</f>
        <v>15</v>
      </c>
      <c r="K7" s="4">
        <f t="shared" si="1"/>
        <v>19</v>
      </c>
      <c r="L7" s="5"/>
      <c r="M7" s="5"/>
    </row>
    <row r="8">
      <c r="A8" s="1"/>
      <c r="C8" s="1"/>
      <c r="D8" s="1"/>
      <c r="E8" s="1"/>
      <c r="F8" s="1"/>
      <c r="J8" s="5"/>
      <c r="K8" s="5"/>
      <c r="L8" s="5"/>
      <c r="M8" s="5"/>
    </row>
    <row r="9">
      <c r="A9" s="1"/>
      <c r="C9" s="1"/>
      <c r="D9" s="1"/>
      <c r="E9" s="1"/>
      <c r="F9" s="1"/>
      <c r="J9" s="5"/>
      <c r="K9" s="5"/>
      <c r="L9" s="5"/>
      <c r="M9" s="5"/>
    </row>
    <row r="10">
      <c r="A10" s="7" t="s">
        <v>11</v>
      </c>
      <c r="B10" s="7" t="s">
        <v>12</v>
      </c>
      <c r="C10" s="7" t="s">
        <v>13</v>
      </c>
      <c r="D10" s="7" t="s">
        <v>14</v>
      </c>
      <c r="E10" s="7" t="s">
        <v>15</v>
      </c>
      <c r="F10" s="7" t="s">
        <v>16</v>
      </c>
      <c r="J10" s="5"/>
      <c r="K10" s="5"/>
      <c r="L10" s="5"/>
      <c r="M10" s="5"/>
    </row>
    <row r="11">
      <c r="A11" s="1" t="s">
        <v>17</v>
      </c>
      <c r="C11" s="1" t="s">
        <v>18</v>
      </c>
      <c r="D11" s="1" t="s">
        <v>19</v>
      </c>
      <c r="E11" s="1" t="s">
        <v>20</v>
      </c>
      <c r="F11" s="1">
        <v>0.0</v>
      </c>
      <c r="J11" s="8"/>
      <c r="K11" s="8"/>
      <c r="L11" s="8"/>
      <c r="M11" s="8"/>
    </row>
    <row r="12">
      <c r="A12" s="1" t="s">
        <v>17</v>
      </c>
      <c r="C12" s="1" t="s">
        <v>18</v>
      </c>
      <c r="D12" s="1" t="s">
        <v>21</v>
      </c>
      <c r="E12" s="1" t="s">
        <v>22</v>
      </c>
      <c r="F12" s="1">
        <v>1.0</v>
      </c>
      <c r="J12" s="8"/>
      <c r="K12" s="8"/>
      <c r="L12" s="8"/>
      <c r="M12" s="8"/>
    </row>
    <row r="13">
      <c r="A13" s="1" t="s">
        <v>17</v>
      </c>
      <c r="C13" s="1" t="s">
        <v>18</v>
      </c>
      <c r="D13" s="1" t="s">
        <v>23</v>
      </c>
      <c r="E13" s="1" t="s">
        <v>24</v>
      </c>
      <c r="F13" s="1">
        <v>1.0</v>
      </c>
      <c r="J13" s="8"/>
      <c r="K13" s="8"/>
      <c r="L13" s="8"/>
      <c r="M13" s="8"/>
    </row>
    <row r="14">
      <c r="A14" s="1" t="s">
        <v>17</v>
      </c>
      <c r="C14" s="1" t="s">
        <v>25</v>
      </c>
      <c r="D14" s="1" t="s">
        <v>26</v>
      </c>
      <c r="E14" s="1" t="s">
        <v>27</v>
      </c>
      <c r="F14" s="1">
        <v>0.0</v>
      </c>
      <c r="J14" s="8"/>
      <c r="K14" s="8"/>
      <c r="L14" s="8"/>
      <c r="M14" s="8"/>
    </row>
    <row r="15">
      <c r="A15" s="1" t="s">
        <v>17</v>
      </c>
      <c r="C15" s="1" t="s">
        <v>28</v>
      </c>
      <c r="D15" s="1" t="s">
        <v>29</v>
      </c>
      <c r="E15" s="1" t="s">
        <v>30</v>
      </c>
      <c r="F15" s="1">
        <v>0.0</v>
      </c>
      <c r="J15" s="8"/>
      <c r="K15" s="8"/>
      <c r="L15" s="8"/>
      <c r="M15" s="8"/>
    </row>
    <row r="16">
      <c r="A16" s="1" t="s">
        <v>17</v>
      </c>
      <c r="C16" s="1" t="s">
        <v>18</v>
      </c>
      <c r="D16" s="1" t="s">
        <v>31</v>
      </c>
      <c r="E16" s="1" t="s">
        <v>32</v>
      </c>
      <c r="F16" s="1">
        <v>0.0</v>
      </c>
      <c r="J16" s="8"/>
      <c r="K16" s="8"/>
      <c r="L16" s="8"/>
      <c r="M16" s="8"/>
    </row>
    <row r="17">
      <c r="A17" s="1" t="s">
        <v>17</v>
      </c>
      <c r="C17" s="1" t="s">
        <v>18</v>
      </c>
      <c r="D17" s="1" t="s">
        <v>33</v>
      </c>
      <c r="E17" s="9">
        <v>5382000.0</v>
      </c>
      <c r="F17" s="1">
        <v>0.0</v>
      </c>
      <c r="J17" s="8"/>
      <c r="K17" s="8"/>
      <c r="L17" s="8"/>
      <c r="M17" s="8"/>
    </row>
    <row r="18">
      <c r="A18" s="1" t="s">
        <v>17</v>
      </c>
      <c r="C18" s="1" t="s">
        <v>28</v>
      </c>
      <c r="D18" s="1" t="s">
        <v>34</v>
      </c>
      <c r="E18" s="1" t="s">
        <v>35</v>
      </c>
      <c r="F18" s="1">
        <v>0.0</v>
      </c>
      <c r="J18" s="8"/>
      <c r="K18" s="8"/>
      <c r="L18" s="8"/>
      <c r="M18" s="8"/>
    </row>
    <row r="19">
      <c r="A19" s="1" t="s">
        <v>17</v>
      </c>
      <c r="C19" s="1" t="s">
        <v>36</v>
      </c>
      <c r="D19" s="1" t="s">
        <v>37</v>
      </c>
      <c r="E19" s="1" t="s">
        <v>38</v>
      </c>
      <c r="F19" s="1">
        <v>1.0</v>
      </c>
      <c r="J19" s="8"/>
      <c r="K19" s="8"/>
      <c r="L19" s="8"/>
      <c r="M19" s="8"/>
    </row>
    <row r="20">
      <c r="A20" s="1" t="s">
        <v>17</v>
      </c>
      <c r="C20" s="1" t="s">
        <v>39</v>
      </c>
      <c r="D20" s="1" t="s">
        <v>40</v>
      </c>
      <c r="E20" s="1" t="s">
        <v>41</v>
      </c>
      <c r="F20" s="1">
        <v>0.0</v>
      </c>
      <c r="J20" s="8"/>
      <c r="K20" s="8"/>
      <c r="L20" s="8"/>
      <c r="M20" s="8"/>
    </row>
    <row r="21">
      <c r="A21" s="1" t="s">
        <v>17</v>
      </c>
      <c r="C21" s="1" t="s">
        <v>25</v>
      </c>
      <c r="D21" s="1" t="s">
        <v>42</v>
      </c>
      <c r="E21" s="1" t="s">
        <v>43</v>
      </c>
      <c r="F21" s="1">
        <v>0.0</v>
      </c>
      <c r="J21" s="8"/>
      <c r="K21" s="8"/>
      <c r="L21" s="8"/>
      <c r="M21" s="8"/>
    </row>
    <row r="22">
      <c r="A22" s="1" t="s">
        <v>17</v>
      </c>
      <c r="C22" s="1" t="s">
        <v>39</v>
      </c>
      <c r="D22" s="1" t="s">
        <v>44</v>
      </c>
      <c r="E22" s="1" t="s">
        <v>45</v>
      </c>
      <c r="F22" s="1">
        <v>0.0</v>
      </c>
      <c r="J22" s="8"/>
      <c r="K22" s="8"/>
      <c r="L22" s="8"/>
      <c r="M22" s="8"/>
    </row>
    <row r="23">
      <c r="A23" s="1" t="s">
        <v>17</v>
      </c>
      <c r="C23" s="1" t="s">
        <v>18</v>
      </c>
      <c r="D23" s="1" t="s">
        <v>46</v>
      </c>
      <c r="E23" s="1" t="s">
        <v>47</v>
      </c>
      <c r="F23" s="1">
        <v>1.0</v>
      </c>
      <c r="J23" s="8"/>
      <c r="K23" s="8"/>
      <c r="L23" s="8"/>
      <c r="M23" s="8"/>
    </row>
    <row r="24">
      <c r="A24" s="1" t="s">
        <v>17</v>
      </c>
      <c r="C24" s="1" t="s">
        <v>36</v>
      </c>
      <c r="D24" s="1" t="s">
        <v>48</v>
      </c>
      <c r="E24" s="1" t="s">
        <v>38</v>
      </c>
      <c r="F24" s="1">
        <v>1.0</v>
      </c>
      <c r="J24" s="8"/>
      <c r="K24" s="8"/>
      <c r="L24" s="8"/>
      <c r="M24" s="8"/>
    </row>
    <row r="25">
      <c r="A25" s="1" t="s">
        <v>17</v>
      </c>
      <c r="C25" s="1" t="s">
        <v>18</v>
      </c>
      <c r="D25" s="1" t="s">
        <v>49</v>
      </c>
      <c r="E25" s="1" t="s">
        <v>50</v>
      </c>
      <c r="F25" s="1">
        <v>0.0</v>
      </c>
      <c r="J25" s="8"/>
      <c r="K25" s="8"/>
      <c r="L25" s="8"/>
      <c r="M25" s="8"/>
    </row>
    <row r="26">
      <c r="A26" s="1" t="s">
        <v>17</v>
      </c>
      <c r="C26" s="1" t="s">
        <v>18</v>
      </c>
      <c r="D26" s="1" t="s">
        <v>51</v>
      </c>
      <c r="E26" s="1" t="s">
        <v>22</v>
      </c>
      <c r="F26" s="1">
        <v>1.0</v>
      </c>
      <c r="J26" s="8"/>
      <c r="K26" s="8"/>
      <c r="L26" s="8"/>
      <c r="M26" s="8"/>
    </row>
    <row r="27">
      <c r="A27" s="1" t="s">
        <v>17</v>
      </c>
      <c r="C27" s="1" t="s">
        <v>28</v>
      </c>
      <c r="D27" s="1" t="s">
        <v>52</v>
      </c>
      <c r="E27" s="1" t="s">
        <v>53</v>
      </c>
      <c r="F27" s="1">
        <v>0.0</v>
      </c>
      <c r="J27" s="8"/>
      <c r="K27" s="8"/>
      <c r="L27" s="8"/>
      <c r="M27" s="8"/>
    </row>
    <row r="28">
      <c r="A28" s="1" t="s">
        <v>17</v>
      </c>
      <c r="C28" s="1" t="s">
        <v>18</v>
      </c>
      <c r="D28" s="1" t="s">
        <v>54</v>
      </c>
      <c r="E28" s="1" t="s">
        <v>55</v>
      </c>
      <c r="F28" s="1">
        <v>0.0</v>
      </c>
      <c r="J28" s="8"/>
      <c r="K28" s="8"/>
      <c r="L28" s="8"/>
      <c r="M28" s="8"/>
    </row>
    <row r="29">
      <c r="A29" s="1" t="s">
        <v>17</v>
      </c>
      <c r="C29" s="1" t="s">
        <v>18</v>
      </c>
      <c r="D29" s="1" t="s">
        <v>56</v>
      </c>
      <c r="E29" s="1" t="s">
        <v>57</v>
      </c>
      <c r="F29" s="1">
        <v>0.0</v>
      </c>
      <c r="J29" s="8"/>
      <c r="K29" s="8"/>
      <c r="L29" s="8"/>
      <c r="M29" s="8"/>
    </row>
    <row r="30">
      <c r="A30" s="1" t="s">
        <v>17</v>
      </c>
      <c r="C30" s="1" t="s">
        <v>39</v>
      </c>
      <c r="D30" s="1" t="s">
        <v>58</v>
      </c>
      <c r="E30" s="1" t="s">
        <v>59</v>
      </c>
      <c r="F30" s="1">
        <v>0.0</v>
      </c>
      <c r="J30" s="8"/>
      <c r="K30" s="8"/>
      <c r="L30" s="8"/>
      <c r="M30" s="8"/>
    </row>
    <row r="31">
      <c r="A31" s="1" t="s">
        <v>17</v>
      </c>
      <c r="C31" s="1" t="s">
        <v>28</v>
      </c>
      <c r="D31" s="1" t="s">
        <v>60</v>
      </c>
      <c r="E31" s="1" t="s">
        <v>61</v>
      </c>
      <c r="F31" s="1">
        <v>0.0</v>
      </c>
      <c r="J31" s="8"/>
      <c r="K31" s="8"/>
      <c r="L31" s="8"/>
      <c r="M31" s="8"/>
    </row>
    <row r="32">
      <c r="A32" s="1" t="s">
        <v>17</v>
      </c>
      <c r="C32" s="1" t="s">
        <v>25</v>
      </c>
      <c r="D32" s="1" t="s">
        <v>62</v>
      </c>
      <c r="E32" s="1" t="s">
        <v>63</v>
      </c>
      <c r="F32" s="1">
        <v>1.0</v>
      </c>
      <c r="J32" s="8"/>
      <c r="K32" s="8"/>
      <c r="L32" s="8"/>
      <c r="M32" s="8"/>
    </row>
    <row r="33">
      <c r="A33" s="1" t="s">
        <v>17</v>
      </c>
      <c r="C33" s="1" t="s">
        <v>25</v>
      </c>
      <c r="D33" s="1" t="s">
        <v>64</v>
      </c>
      <c r="E33" s="1" t="s">
        <v>65</v>
      </c>
      <c r="F33" s="1">
        <v>0.0</v>
      </c>
      <c r="J33" s="8"/>
      <c r="K33" s="8"/>
      <c r="L33" s="8"/>
      <c r="M33" s="8"/>
    </row>
    <row r="34">
      <c r="A34" s="1" t="s">
        <v>17</v>
      </c>
      <c r="C34" s="1" t="s">
        <v>28</v>
      </c>
      <c r="D34" s="1" t="s">
        <v>66</v>
      </c>
      <c r="E34" s="1" t="s">
        <v>67</v>
      </c>
      <c r="F34" s="1">
        <v>0.0</v>
      </c>
      <c r="J34" s="8"/>
      <c r="K34" s="8"/>
      <c r="L34" s="8"/>
      <c r="M34" s="8"/>
    </row>
    <row r="35">
      <c r="A35" s="1" t="s">
        <v>17</v>
      </c>
      <c r="C35" s="1" t="s">
        <v>28</v>
      </c>
      <c r="D35" s="1" t="s">
        <v>68</v>
      </c>
      <c r="E35" s="1" t="s">
        <v>69</v>
      </c>
      <c r="F35" s="1">
        <v>0.0</v>
      </c>
      <c r="J35" s="8"/>
      <c r="K35" s="8"/>
      <c r="L35" s="8"/>
      <c r="M35" s="8"/>
    </row>
    <row r="36">
      <c r="A36" s="1" t="s">
        <v>17</v>
      </c>
      <c r="C36" s="1" t="s">
        <v>36</v>
      </c>
      <c r="D36" s="1" t="s">
        <v>70</v>
      </c>
      <c r="E36" s="1" t="s">
        <v>71</v>
      </c>
      <c r="F36" s="1">
        <v>0.0</v>
      </c>
      <c r="J36" s="8"/>
      <c r="K36" s="8"/>
      <c r="L36" s="8"/>
      <c r="M36" s="8"/>
    </row>
    <row r="37">
      <c r="A37" s="1" t="s">
        <v>17</v>
      </c>
      <c r="C37" s="1" t="s">
        <v>18</v>
      </c>
      <c r="D37" s="1" t="s">
        <v>72</v>
      </c>
      <c r="E37" s="10">
        <v>0.5</v>
      </c>
      <c r="F37" s="1">
        <v>1.0</v>
      </c>
      <c r="J37" s="8"/>
      <c r="K37" s="8"/>
      <c r="L37" s="8"/>
      <c r="M37" s="8"/>
    </row>
    <row r="38">
      <c r="A38" s="1" t="s">
        <v>17</v>
      </c>
      <c r="C38" s="1" t="s">
        <v>18</v>
      </c>
      <c r="D38" s="1" t="s">
        <v>73</v>
      </c>
      <c r="E38" s="1" t="s">
        <v>74</v>
      </c>
      <c r="F38" s="1">
        <v>0.0</v>
      </c>
      <c r="J38" s="8"/>
      <c r="K38" s="8"/>
      <c r="L38" s="8"/>
      <c r="M38" s="8"/>
    </row>
    <row r="39">
      <c r="A39" s="1" t="s">
        <v>17</v>
      </c>
      <c r="C39" s="1" t="s">
        <v>39</v>
      </c>
      <c r="D39" s="1" t="s">
        <v>75</v>
      </c>
      <c r="E39" s="1" t="s">
        <v>76</v>
      </c>
      <c r="F39" s="1">
        <v>0.0</v>
      </c>
      <c r="J39" s="8"/>
      <c r="K39" s="8"/>
      <c r="L39" s="8"/>
      <c r="M39" s="8"/>
    </row>
    <row r="40">
      <c r="A40" s="1" t="s">
        <v>17</v>
      </c>
      <c r="C40" s="1" t="s">
        <v>25</v>
      </c>
      <c r="D40" s="1" t="s">
        <v>77</v>
      </c>
      <c r="E40" s="1" t="s">
        <v>43</v>
      </c>
      <c r="F40" s="1">
        <v>0.0</v>
      </c>
      <c r="J40" s="8"/>
      <c r="K40" s="8"/>
      <c r="L40" s="8"/>
      <c r="M40" s="8"/>
    </row>
    <row r="41">
      <c r="A41" s="1" t="s">
        <v>17</v>
      </c>
      <c r="C41" s="1" t="s">
        <v>28</v>
      </c>
      <c r="D41" s="1" t="s">
        <v>78</v>
      </c>
      <c r="E41" s="1" t="s">
        <v>79</v>
      </c>
      <c r="F41" s="1">
        <v>0.0</v>
      </c>
      <c r="J41" s="8"/>
      <c r="K41" s="8"/>
      <c r="L41" s="8"/>
      <c r="M41" s="8"/>
    </row>
    <row r="42">
      <c r="A42" s="1" t="s">
        <v>17</v>
      </c>
      <c r="C42" s="1" t="s">
        <v>28</v>
      </c>
      <c r="D42" s="1" t="s">
        <v>80</v>
      </c>
      <c r="E42" s="1" t="s">
        <v>81</v>
      </c>
      <c r="F42" s="1">
        <v>0.0</v>
      </c>
      <c r="J42" s="8"/>
      <c r="K42" s="8"/>
      <c r="L42" s="8"/>
      <c r="M42" s="8"/>
    </row>
    <row r="43">
      <c r="A43" s="1" t="s">
        <v>17</v>
      </c>
      <c r="C43" s="1" t="s">
        <v>25</v>
      </c>
      <c r="D43" s="1" t="s">
        <v>82</v>
      </c>
      <c r="E43" s="1" t="s">
        <v>83</v>
      </c>
      <c r="F43" s="1">
        <v>0.0</v>
      </c>
      <c r="J43" s="8"/>
      <c r="K43" s="8"/>
      <c r="L43" s="8"/>
      <c r="M43" s="8"/>
    </row>
    <row r="44">
      <c r="A44" s="1" t="s">
        <v>17</v>
      </c>
      <c r="C44" s="1" t="s">
        <v>25</v>
      </c>
      <c r="D44" s="1" t="s">
        <v>84</v>
      </c>
      <c r="E44" s="1" t="s">
        <v>85</v>
      </c>
      <c r="F44" s="1">
        <v>1.0</v>
      </c>
      <c r="J44" s="8"/>
      <c r="K44" s="8"/>
      <c r="L44" s="8"/>
      <c r="M44" s="8"/>
    </row>
    <row r="45">
      <c r="A45" s="1" t="s">
        <v>17</v>
      </c>
      <c r="C45" s="1" t="s">
        <v>28</v>
      </c>
      <c r="D45" s="1" t="s">
        <v>86</v>
      </c>
      <c r="E45" s="1" t="s">
        <v>87</v>
      </c>
      <c r="F45" s="1">
        <v>0.0</v>
      </c>
      <c r="J45" s="8"/>
      <c r="K45" s="8"/>
      <c r="L45" s="8"/>
      <c r="M45" s="8"/>
    </row>
    <row r="46">
      <c r="A46" s="1" t="s">
        <v>17</v>
      </c>
      <c r="C46" s="1" t="s">
        <v>39</v>
      </c>
      <c r="D46" s="1" t="s">
        <v>88</v>
      </c>
      <c r="E46" s="1" t="s">
        <v>89</v>
      </c>
      <c r="F46" s="1">
        <v>0.0</v>
      </c>
      <c r="J46" s="8"/>
      <c r="K46" s="8"/>
      <c r="L46" s="8"/>
      <c r="M46" s="8"/>
    </row>
    <row r="47">
      <c r="A47" s="1" t="s">
        <v>17</v>
      </c>
      <c r="C47" s="1" t="s">
        <v>18</v>
      </c>
      <c r="D47" s="1" t="s">
        <v>90</v>
      </c>
      <c r="E47" s="1" t="s">
        <v>91</v>
      </c>
      <c r="F47" s="1">
        <v>0.0</v>
      </c>
      <c r="J47" s="8"/>
      <c r="K47" s="8"/>
      <c r="L47" s="8"/>
      <c r="M47" s="8"/>
    </row>
    <row r="48">
      <c r="A48" s="1" t="s">
        <v>17</v>
      </c>
      <c r="C48" s="1" t="s">
        <v>18</v>
      </c>
      <c r="D48" s="1" t="s">
        <v>92</v>
      </c>
      <c r="E48" s="1" t="s">
        <v>93</v>
      </c>
      <c r="F48" s="1">
        <v>1.0</v>
      </c>
      <c r="J48" s="8"/>
      <c r="K48" s="8"/>
      <c r="L48" s="8"/>
      <c r="M48" s="8"/>
    </row>
    <row r="49">
      <c r="A49" s="1" t="s">
        <v>17</v>
      </c>
      <c r="C49" s="1" t="s">
        <v>25</v>
      </c>
      <c r="D49" s="1" t="s">
        <v>94</v>
      </c>
      <c r="E49" s="1" t="s">
        <v>95</v>
      </c>
      <c r="F49" s="1">
        <v>0.0</v>
      </c>
      <c r="J49" s="8"/>
      <c r="K49" s="8"/>
      <c r="L49" s="8"/>
      <c r="M49" s="8"/>
    </row>
    <row r="50">
      <c r="A50" s="1" t="s">
        <v>17</v>
      </c>
      <c r="C50" s="1" t="s">
        <v>25</v>
      </c>
      <c r="D50" s="1" t="s">
        <v>96</v>
      </c>
      <c r="E50" s="1" t="s">
        <v>97</v>
      </c>
      <c r="F50" s="1">
        <v>1.0</v>
      </c>
      <c r="J50" s="8"/>
      <c r="K50" s="8"/>
      <c r="L50" s="8"/>
      <c r="M50" s="8"/>
    </row>
    <row r="51">
      <c r="A51" s="1" t="s">
        <v>17</v>
      </c>
      <c r="C51" s="1" t="s">
        <v>18</v>
      </c>
      <c r="D51" s="1" t="s">
        <v>98</v>
      </c>
      <c r="E51" s="1" t="s">
        <v>99</v>
      </c>
      <c r="F51" s="1">
        <v>0.0</v>
      </c>
      <c r="J51" s="8"/>
      <c r="K51" s="8"/>
      <c r="L51" s="8"/>
      <c r="M51" s="8"/>
    </row>
    <row r="52">
      <c r="A52" s="1" t="s">
        <v>17</v>
      </c>
      <c r="C52" s="1" t="s">
        <v>25</v>
      </c>
      <c r="D52" s="1" t="s">
        <v>100</v>
      </c>
      <c r="E52" s="1" t="s">
        <v>101</v>
      </c>
      <c r="F52" s="1">
        <v>0.0</v>
      </c>
      <c r="J52" s="8"/>
      <c r="K52" s="8"/>
      <c r="L52" s="8"/>
      <c r="M52" s="8"/>
    </row>
    <row r="53">
      <c r="A53" s="1" t="s">
        <v>17</v>
      </c>
      <c r="C53" s="1" t="s">
        <v>39</v>
      </c>
      <c r="D53" s="1" t="s">
        <v>102</v>
      </c>
      <c r="E53" s="1" t="s">
        <v>103</v>
      </c>
      <c r="F53" s="1">
        <v>1.0</v>
      </c>
      <c r="J53" s="8"/>
      <c r="K53" s="8"/>
      <c r="L53" s="8"/>
      <c r="M53" s="8"/>
    </row>
    <row r="54">
      <c r="A54" s="1" t="s">
        <v>17</v>
      </c>
      <c r="C54" s="1" t="s">
        <v>28</v>
      </c>
      <c r="D54" s="1" t="s">
        <v>104</v>
      </c>
      <c r="E54" s="1" t="s">
        <v>105</v>
      </c>
      <c r="F54" s="1">
        <v>0.0</v>
      </c>
      <c r="J54" s="8"/>
      <c r="K54" s="8"/>
      <c r="L54" s="8"/>
      <c r="M54" s="8"/>
    </row>
    <row r="55">
      <c r="A55" s="1" t="s">
        <v>17</v>
      </c>
      <c r="C55" s="1" t="s">
        <v>25</v>
      </c>
      <c r="D55" s="1" t="s">
        <v>106</v>
      </c>
      <c r="E55" s="1" t="s">
        <v>107</v>
      </c>
      <c r="F55" s="1">
        <v>0.0</v>
      </c>
      <c r="J55" s="8"/>
      <c r="K55" s="8"/>
      <c r="L55" s="8"/>
      <c r="M55" s="8"/>
    </row>
    <row r="56">
      <c r="A56" s="1" t="s">
        <v>17</v>
      </c>
      <c r="C56" s="1" t="s">
        <v>25</v>
      </c>
      <c r="D56" s="1" t="s">
        <v>108</v>
      </c>
      <c r="E56" s="1" t="s">
        <v>109</v>
      </c>
      <c r="F56" s="1">
        <v>1.0</v>
      </c>
      <c r="J56" s="8"/>
      <c r="K56" s="8"/>
      <c r="L56" s="8"/>
      <c r="M56" s="8"/>
    </row>
    <row r="57">
      <c r="A57" s="1" t="s">
        <v>17</v>
      </c>
      <c r="C57" s="1" t="s">
        <v>18</v>
      </c>
      <c r="D57" s="1" t="s">
        <v>110</v>
      </c>
      <c r="E57" s="1" t="s">
        <v>111</v>
      </c>
      <c r="F57" s="1">
        <v>0.0</v>
      </c>
      <c r="J57" s="8"/>
      <c r="K57" s="8"/>
      <c r="L57" s="8"/>
      <c r="M57" s="8"/>
    </row>
    <row r="58">
      <c r="A58" s="1" t="s">
        <v>17</v>
      </c>
      <c r="C58" s="1" t="s">
        <v>18</v>
      </c>
      <c r="D58" s="1" t="s">
        <v>112</v>
      </c>
      <c r="E58" s="1" t="s">
        <v>113</v>
      </c>
      <c r="F58" s="1">
        <v>0.0</v>
      </c>
      <c r="J58" s="8"/>
      <c r="K58" s="8"/>
      <c r="L58" s="8"/>
      <c r="M58" s="8"/>
    </row>
    <row r="59">
      <c r="A59" s="1" t="s">
        <v>17</v>
      </c>
      <c r="C59" s="1" t="s">
        <v>39</v>
      </c>
      <c r="D59" s="1" t="s">
        <v>114</v>
      </c>
      <c r="E59" s="1" t="s">
        <v>115</v>
      </c>
      <c r="F59" s="1">
        <v>1.0</v>
      </c>
      <c r="J59" s="8"/>
      <c r="K59" s="8"/>
      <c r="L59" s="8"/>
      <c r="M59" s="8"/>
    </row>
    <row r="60">
      <c r="A60" s="1" t="s">
        <v>17</v>
      </c>
      <c r="C60" s="1" t="s">
        <v>18</v>
      </c>
      <c r="D60" s="1" t="s">
        <v>116</v>
      </c>
      <c r="E60" s="1" t="s">
        <v>117</v>
      </c>
      <c r="F60" s="1">
        <v>0.0</v>
      </c>
      <c r="J60" s="8"/>
      <c r="K60" s="8"/>
      <c r="L60" s="8"/>
      <c r="M60" s="8"/>
    </row>
    <row r="61">
      <c r="A61" s="1" t="s">
        <v>17</v>
      </c>
      <c r="C61" s="1" t="s">
        <v>18</v>
      </c>
      <c r="D61" s="1" t="s">
        <v>118</v>
      </c>
      <c r="E61" s="1" t="s">
        <v>119</v>
      </c>
      <c r="F61" s="1">
        <v>0.0</v>
      </c>
      <c r="J61" s="8"/>
      <c r="K61" s="8"/>
      <c r="L61" s="8"/>
      <c r="M61" s="8"/>
    </row>
    <row r="62">
      <c r="A62" s="1" t="s">
        <v>17</v>
      </c>
      <c r="C62" s="1" t="s">
        <v>28</v>
      </c>
      <c r="D62" s="1" t="s">
        <v>120</v>
      </c>
      <c r="E62" s="1" t="s">
        <v>121</v>
      </c>
      <c r="F62" s="1">
        <v>0.0</v>
      </c>
      <c r="J62" s="8"/>
      <c r="K62" s="8"/>
      <c r="L62" s="8"/>
      <c r="M62" s="8"/>
    </row>
    <row r="63">
      <c r="A63" s="1" t="s">
        <v>17</v>
      </c>
      <c r="C63" s="1" t="s">
        <v>18</v>
      </c>
      <c r="D63" s="1" t="s">
        <v>122</v>
      </c>
      <c r="E63" s="1" t="s">
        <v>123</v>
      </c>
      <c r="F63" s="1">
        <v>0.0</v>
      </c>
      <c r="J63" s="8"/>
      <c r="K63" s="8"/>
      <c r="L63" s="8"/>
      <c r="M63" s="8"/>
    </row>
    <row r="64">
      <c r="A64" s="1" t="s">
        <v>17</v>
      </c>
      <c r="C64" s="1" t="s">
        <v>39</v>
      </c>
      <c r="D64" s="1" t="s">
        <v>124</v>
      </c>
      <c r="E64" s="1" t="s">
        <v>125</v>
      </c>
      <c r="F64" s="1">
        <v>0.0</v>
      </c>
      <c r="J64" s="8"/>
      <c r="K64" s="8"/>
      <c r="L64" s="8"/>
      <c r="M64" s="8"/>
    </row>
    <row r="65">
      <c r="A65" s="1" t="s">
        <v>17</v>
      </c>
      <c r="C65" s="1" t="s">
        <v>18</v>
      </c>
      <c r="D65" s="1" t="s">
        <v>126</v>
      </c>
      <c r="E65" s="1" t="s">
        <v>127</v>
      </c>
      <c r="F65" s="1">
        <v>0.0</v>
      </c>
      <c r="J65" s="8"/>
      <c r="K65" s="8"/>
      <c r="L65" s="8"/>
      <c r="M65" s="8"/>
    </row>
    <row r="66">
      <c r="A66" s="1" t="s">
        <v>17</v>
      </c>
      <c r="C66" s="1" t="s">
        <v>18</v>
      </c>
      <c r="D66" s="1" t="s">
        <v>128</v>
      </c>
      <c r="E66" s="1" t="s">
        <v>129</v>
      </c>
      <c r="F66" s="1">
        <v>0.0</v>
      </c>
      <c r="J66" s="8"/>
      <c r="K66" s="8"/>
      <c r="L66" s="8"/>
      <c r="M66" s="8"/>
    </row>
    <row r="67">
      <c r="A67" s="1" t="s">
        <v>17</v>
      </c>
      <c r="C67" s="1" t="s">
        <v>25</v>
      </c>
      <c r="D67" s="1" t="s">
        <v>130</v>
      </c>
      <c r="E67" s="1" t="s">
        <v>131</v>
      </c>
      <c r="F67" s="1">
        <v>1.0</v>
      </c>
      <c r="J67" s="8"/>
      <c r="K67" s="8"/>
      <c r="L67" s="8"/>
      <c r="M67" s="8"/>
    </row>
    <row r="68">
      <c r="A68" s="1" t="s">
        <v>17</v>
      </c>
      <c r="C68" s="1" t="s">
        <v>25</v>
      </c>
      <c r="D68" s="1" t="s">
        <v>132</v>
      </c>
      <c r="E68" s="1" t="s">
        <v>83</v>
      </c>
      <c r="F68" s="1">
        <v>1.0</v>
      </c>
      <c r="J68" s="8"/>
      <c r="K68" s="8"/>
      <c r="L68" s="8"/>
      <c r="M68" s="8"/>
    </row>
    <row r="69">
      <c r="A69" s="1" t="s">
        <v>17</v>
      </c>
      <c r="C69" s="1" t="s">
        <v>28</v>
      </c>
      <c r="D69" s="1" t="s">
        <v>133</v>
      </c>
      <c r="E69" s="1" t="s">
        <v>134</v>
      </c>
      <c r="F69" s="1">
        <v>0.0</v>
      </c>
      <c r="J69" s="8"/>
      <c r="K69" s="8"/>
      <c r="L69" s="8"/>
      <c r="M69" s="8"/>
    </row>
    <row r="70">
      <c r="A70" s="1" t="s">
        <v>17</v>
      </c>
      <c r="C70" s="1" t="s">
        <v>18</v>
      </c>
      <c r="D70" s="1" t="s">
        <v>135</v>
      </c>
      <c r="E70" s="1" t="s">
        <v>136</v>
      </c>
      <c r="F70" s="1">
        <v>1.0</v>
      </c>
      <c r="J70" s="8"/>
      <c r="K70" s="8"/>
      <c r="L70" s="8"/>
      <c r="M70" s="8"/>
    </row>
    <row r="71">
      <c r="A71" s="1" t="s">
        <v>17</v>
      </c>
      <c r="C71" s="1" t="s">
        <v>36</v>
      </c>
      <c r="D71" s="1" t="s">
        <v>137</v>
      </c>
      <c r="E71" s="1" t="s">
        <v>138</v>
      </c>
      <c r="F71" s="1">
        <v>1.0</v>
      </c>
      <c r="J71" s="8"/>
      <c r="K71" s="8"/>
      <c r="L71" s="8"/>
      <c r="M71" s="8"/>
    </row>
    <row r="72">
      <c r="A72" s="1" t="s">
        <v>17</v>
      </c>
      <c r="C72" s="1" t="s">
        <v>25</v>
      </c>
      <c r="D72" s="1" t="s">
        <v>139</v>
      </c>
      <c r="E72" s="1" t="s">
        <v>140</v>
      </c>
      <c r="F72" s="1">
        <v>0.0</v>
      </c>
      <c r="J72" s="8"/>
      <c r="K72" s="8"/>
      <c r="L72" s="8"/>
      <c r="M72" s="8"/>
    </row>
    <row r="73">
      <c r="A73" s="1" t="s">
        <v>17</v>
      </c>
      <c r="C73" s="1" t="s">
        <v>18</v>
      </c>
      <c r="D73" s="1" t="s">
        <v>141</v>
      </c>
      <c r="E73" s="1" t="s">
        <v>142</v>
      </c>
      <c r="F73" s="1">
        <v>0.0</v>
      </c>
      <c r="J73" s="8"/>
      <c r="K73" s="8"/>
      <c r="L73" s="8"/>
      <c r="M73" s="8"/>
    </row>
    <row r="74">
      <c r="A74" s="1" t="s">
        <v>17</v>
      </c>
      <c r="C74" s="1" t="s">
        <v>25</v>
      </c>
      <c r="D74" s="1" t="s">
        <v>143</v>
      </c>
      <c r="E74" s="1" t="s">
        <v>144</v>
      </c>
      <c r="F74" s="1">
        <v>1.0</v>
      </c>
      <c r="J74" s="8"/>
      <c r="K74" s="8"/>
      <c r="L74" s="8"/>
      <c r="M74" s="8"/>
    </row>
    <row r="75">
      <c r="A75" s="1" t="s">
        <v>17</v>
      </c>
      <c r="C75" s="1" t="s">
        <v>25</v>
      </c>
      <c r="D75" s="1" t="s">
        <v>145</v>
      </c>
      <c r="E75" s="1" t="s">
        <v>146</v>
      </c>
      <c r="F75" s="1">
        <v>1.0</v>
      </c>
      <c r="J75" s="8"/>
      <c r="K75" s="8"/>
      <c r="L75" s="8"/>
      <c r="M75" s="8"/>
    </row>
    <row r="76">
      <c r="A76" s="1" t="s">
        <v>17</v>
      </c>
      <c r="C76" s="1" t="s">
        <v>28</v>
      </c>
      <c r="D76" s="1" t="s">
        <v>147</v>
      </c>
      <c r="E76" s="1" t="s">
        <v>148</v>
      </c>
      <c r="F76" s="1">
        <v>0.0</v>
      </c>
      <c r="J76" s="8"/>
      <c r="K76" s="8"/>
      <c r="L76" s="8"/>
      <c r="M76" s="8"/>
    </row>
    <row r="77">
      <c r="A77" s="1" t="s">
        <v>17</v>
      </c>
      <c r="C77" s="1" t="s">
        <v>18</v>
      </c>
      <c r="D77" s="1" t="s">
        <v>149</v>
      </c>
      <c r="E77" s="1" t="s">
        <v>150</v>
      </c>
      <c r="F77" s="1">
        <v>0.0</v>
      </c>
      <c r="J77" s="8"/>
      <c r="K77" s="8"/>
      <c r="L77" s="8"/>
      <c r="M77" s="8"/>
    </row>
    <row r="78">
      <c r="A78" s="1" t="s">
        <v>17</v>
      </c>
      <c r="C78" s="1" t="s">
        <v>28</v>
      </c>
      <c r="D78" s="1" t="s">
        <v>151</v>
      </c>
      <c r="E78" s="1" t="s">
        <v>152</v>
      </c>
      <c r="F78" s="1">
        <v>0.0</v>
      </c>
      <c r="J78" s="8"/>
      <c r="K78" s="8"/>
      <c r="L78" s="8"/>
      <c r="M78" s="8"/>
    </row>
    <row r="79">
      <c r="A79" s="1" t="s">
        <v>17</v>
      </c>
      <c r="C79" s="1" t="s">
        <v>25</v>
      </c>
      <c r="D79" s="1" t="s">
        <v>153</v>
      </c>
      <c r="E79" s="1" t="s">
        <v>154</v>
      </c>
      <c r="F79" s="1">
        <v>0.0</v>
      </c>
      <c r="J79" s="8"/>
      <c r="K79" s="8"/>
      <c r="L79" s="8"/>
      <c r="M79" s="8"/>
    </row>
    <row r="80">
      <c r="A80" s="1" t="s">
        <v>17</v>
      </c>
      <c r="C80" s="1" t="s">
        <v>28</v>
      </c>
      <c r="D80" s="1" t="s">
        <v>155</v>
      </c>
      <c r="E80" s="1" t="s">
        <v>156</v>
      </c>
      <c r="F80" s="1">
        <v>0.0</v>
      </c>
      <c r="J80" s="8"/>
      <c r="K80" s="8"/>
      <c r="L80" s="8"/>
      <c r="M80" s="8"/>
    </row>
    <row r="81">
      <c r="A81" s="1" t="s">
        <v>17</v>
      </c>
      <c r="C81" s="1" t="s">
        <v>18</v>
      </c>
      <c r="D81" s="1" t="s">
        <v>157</v>
      </c>
      <c r="E81" s="1" t="s">
        <v>158</v>
      </c>
      <c r="F81" s="1">
        <v>1.0</v>
      </c>
      <c r="J81" s="8"/>
      <c r="K81" s="8"/>
      <c r="L81" s="8"/>
      <c r="M81" s="8"/>
    </row>
    <row r="82">
      <c r="A82" s="1" t="s">
        <v>17</v>
      </c>
      <c r="C82" s="1" t="s">
        <v>28</v>
      </c>
      <c r="D82" s="1" t="s">
        <v>159</v>
      </c>
      <c r="E82" s="1" t="s">
        <v>160</v>
      </c>
      <c r="F82" s="1">
        <v>0.0</v>
      </c>
      <c r="J82" s="8"/>
      <c r="K82" s="8"/>
      <c r="L82" s="8"/>
      <c r="M82" s="8"/>
    </row>
    <row r="83">
      <c r="A83" s="1" t="s">
        <v>17</v>
      </c>
      <c r="C83" s="1" t="s">
        <v>28</v>
      </c>
      <c r="D83" s="1" t="s">
        <v>161</v>
      </c>
      <c r="E83" s="1" t="s">
        <v>162</v>
      </c>
      <c r="F83" s="1">
        <v>1.0</v>
      </c>
      <c r="J83" s="8"/>
      <c r="K83" s="8"/>
      <c r="L83" s="8"/>
      <c r="M83" s="8"/>
    </row>
    <row r="84">
      <c r="A84" s="1" t="s">
        <v>17</v>
      </c>
      <c r="C84" s="1" t="s">
        <v>25</v>
      </c>
      <c r="D84" s="1" t="s">
        <v>163</v>
      </c>
      <c r="E84" s="1" t="s">
        <v>164</v>
      </c>
      <c r="F84" s="1">
        <v>0.0</v>
      </c>
      <c r="J84" s="8"/>
      <c r="K84" s="8"/>
      <c r="L84" s="8"/>
      <c r="M84" s="8"/>
    </row>
    <row r="85">
      <c r="A85" s="1" t="s">
        <v>17</v>
      </c>
      <c r="C85" s="1" t="s">
        <v>18</v>
      </c>
      <c r="D85" s="1" t="s">
        <v>165</v>
      </c>
      <c r="E85" s="1" t="s">
        <v>166</v>
      </c>
      <c r="F85" s="1">
        <v>0.0</v>
      </c>
      <c r="J85" s="8"/>
      <c r="K85" s="8"/>
      <c r="L85" s="8"/>
      <c r="M85" s="8"/>
    </row>
    <row r="86">
      <c r="A86" s="1" t="s">
        <v>17</v>
      </c>
      <c r="C86" s="1" t="s">
        <v>25</v>
      </c>
      <c r="D86" s="1" t="s">
        <v>167</v>
      </c>
      <c r="E86" s="1" t="s">
        <v>168</v>
      </c>
      <c r="F86" s="1">
        <v>0.0</v>
      </c>
      <c r="J86" s="8"/>
      <c r="K86" s="8"/>
      <c r="L86" s="8"/>
      <c r="M86" s="8"/>
    </row>
    <row r="87">
      <c r="A87" s="1" t="s">
        <v>17</v>
      </c>
      <c r="C87" s="1" t="s">
        <v>18</v>
      </c>
      <c r="D87" s="1" t="s">
        <v>169</v>
      </c>
      <c r="E87" s="1" t="s">
        <v>170</v>
      </c>
      <c r="F87" s="1">
        <v>1.0</v>
      </c>
      <c r="J87" s="8"/>
      <c r="K87" s="8"/>
      <c r="L87" s="8"/>
      <c r="M87" s="8"/>
    </row>
    <row r="88">
      <c r="A88" s="1" t="s">
        <v>17</v>
      </c>
      <c r="C88" s="1" t="s">
        <v>25</v>
      </c>
      <c r="D88" s="1" t="s">
        <v>171</v>
      </c>
      <c r="E88" s="1" t="s">
        <v>172</v>
      </c>
      <c r="F88" s="1">
        <v>1.0</v>
      </c>
      <c r="J88" s="8"/>
      <c r="K88" s="8"/>
      <c r="L88" s="8"/>
      <c r="M88" s="8"/>
    </row>
    <row r="89">
      <c r="A89" s="1" t="s">
        <v>17</v>
      </c>
      <c r="C89" s="1" t="s">
        <v>18</v>
      </c>
      <c r="D89" s="1" t="s">
        <v>173</v>
      </c>
      <c r="E89" s="1" t="s">
        <v>174</v>
      </c>
      <c r="F89" s="1">
        <v>0.0</v>
      </c>
      <c r="J89" s="8"/>
      <c r="K89" s="8"/>
      <c r="L89" s="8"/>
      <c r="M89" s="8"/>
    </row>
    <row r="90">
      <c r="A90" s="1" t="s">
        <v>17</v>
      </c>
      <c r="C90" s="1" t="s">
        <v>18</v>
      </c>
      <c r="D90" s="1" t="s">
        <v>175</v>
      </c>
      <c r="E90" s="1">
        <v>5.0</v>
      </c>
      <c r="F90" s="1">
        <v>1.0</v>
      </c>
      <c r="J90" s="8"/>
      <c r="K90" s="8"/>
      <c r="L90" s="8"/>
      <c r="M90" s="8"/>
    </row>
    <row r="91">
      <c r="A91" s="1" t="s">
        <v>17</v>
      </c>
      <c r="C91" s="1" t="s">
        <v>28</v>
      </c>
      <c r="D91" s="1" t="s">
        <v>176</v>
      </c>
      <c r="E91" s="1" t="s">
        <v>177</v>
      </c>
      <c r="F91" s="1">
        <v>0.0</v>
      </c>
      <c r="J91" s="8"/>
      <c r="K91" s="8"/>
      <c r="L91" s="8"/>
      <c r="M91" s="8"/>
    </row>
    <row r="92">
      <c r="A92" s="1" t="s">
        <v>17</v>
      </c>
      <c r="C92" s="1" t="s">
        <v>28</v>
      </c>
      <c r="D92" s="1" t="s">
        <v>178</v>
      </c>
      <c r="E92" s="1" t="s">
        <v>179</v>
      </c>
      <c r="F92" s="1">
        <v>1.0</v>
      </c>
      <c r="J92" s="8"/>
      <c r="K92" s="8"/>
      <c r="L92" s="8"/>
      <c r="M92" s="8"/>
    </row>
    <row r="93">
      <c r="A93" s="1" t="s">
        <v>17</v>
      </c>
      <c r="C93" s="1" t="s">
        <v>36</v>
      </c>
      <c r="D93" s="1" t="s">
        <v>180</v>
      </c>
      <c r="E93" s="1" t="s">
        <v>181</v>
      </c>
      <c r="F93" s="1">
        <v>0.0</v>
      </c>
      <c r="J93" s="8"/>
      <c r="K93" s="8"/>
      <c r="L93" s="8"/>
      <c r="M93" s="8"/>
    </row>
    <row r="94">
      <c r="A94" s="1" t="s">
        <v>17</v>
      </c>
      <c r="C94" s="1" t="s">
        <v>18</v>
      </c>
      <c r="D94" s="1" t="s">
        <v>182</v>
      </c>
      <c r="E94" s="1" t="s">
        <v>183</v>
      </c>
      <c r="F94" s="1">
        <v>0.0</v>
      </c>
      <c r="J94" s="8"/>
      <c r="K94" s="8"/>
      <c r="L94" s="8"/>
      <c r="M94" s="8"/>
    </row>
    <row r="95">
      <c r="A95" s="1" t="s">
        <v>17</v>
      </c>
      <c r="C95" s="1" t="s">
        <v>36</v>
      </c>
      <c r="D95" s="1" t="s">
        <v>184</v>
      </c>
      <c r="E95" s="1" t="s">
        <v>185</v>
      </c>
      <c r="F95" s="1">
        <v>0.0</v>
      </c>
      <c r="J95" s="8"/>
      <c r="K95" s="8"/>
      <c r="L95" s="8"/>
      <c r="M95" s="8"/>
    </row>
    <row r="96">
      <c r="A96" s="1" t="s">
        <v>17</v>
      </c>
      <c r="C96" s="1" t="s">
        <v>18</v>
      </c>
      <c r="D96" s="1" t="s">
        <v>186</v>
      </c>
      <c r="E96" s="1" t="s">
        <v>187</v>
      </c>
      <c r="F96" s="1">
        <v>0.0</v>
      </c>
      <c r="J96" s="8"/>
      <c r="K96" s="8"/>
      <c r="L96" s="8"/>
      <c r="M96" s="8"/>
    </row>
    <row r="97">
      <c r="A97" s="1" t="s">
        <v>17</v>
      </c>
      <c r="C97" s="1" t="s">
        <v>28</v>
      </c>
      <c r="D97" s="1" t="s">
        <v>188</v>
      </c>
      <c r="E97" s="1" t="s">
        <v>35</v>
      </c>
      <c r="F97" s="1">
        <v>0.0</v>
      </c>
      <c r="J97" s="8"/>
      <c r="K97" s="8"/>
      <c r="L97" s="8"/>
      <c r="M97" s="8"/>
    </row>
    <row r="98">
      <c r="A98" s="1" t="s">
        <v>17</v>
      </c>
      <c r="C98" s="1" t="s">
        <v>28</v>
      </c>
      <c r="D98" s="1" t="s">
        <v>189</v>
      </c>
      <c r="E98" s="1" t="s">
        <v>190</v>
      </c>
      <c r="F98" s="1">
        <v>0.0</v>
      </c>
      <c r="J98" s="8"/>
      <c r="K98" s="8"/>
      <c r="L98" s="8"/>
      <c r="M98" s="8"/>
    </row>
    <row r="99">
      <c r="A99" s="1" t="s">
        <v>17</v>
      </c>
      <c r="C99" s="1" t="s">
        <v>25</v>
      </c>
      <c r="D99" s="1" t="s">
        <v>191</v>
      </c>
      <c r="E99" s="1" t="s">
        <v>192</v>
      </c>
      <c r="F99" s="1">
        <v>1.0</v>
      </c>
      <c r="J99" s="8"/>
      <c r="K99" s="8"/>
      <c r="L99" s="8"/>
      <c r="M99" s="8"/>
    </row>
    <row r="100">
      <c r="A100" s="1" t="s">
        <v>17</v>
      </c>
      <c r="C100" s="1" t="s">
        <v>36</v>
      </c>
      <c r="D100" s="1" t="s">
        <v>193</v>
      </c>
      <c r="E100" s="1" t="s">
        <v>194</v>
      </c>
      <c r="F100" s="1">
        <v>0.0</v>
      </c>
      <c r="J100" s="8"/>
      <c r="K100" s="8"/>
      <c r="L100" s="8"/>
      <c r="M100" s="8"/>
    </row>
    <row r="101">
      <c r="A101" s="1" t="s">
        <v>17</v>
      </c>
      <c r="C101" s="1" t="s">
        <v>25</v>
      </c>
      <c r="D101" s="1" t="s">
        <v>195</v>
      </c>
      <c r="E101" s="1" t="s">
        <v>196</v>
      </c>
      <c r="F101" s="1">
        <v>1.0</v>
      </c>
      <c r="J101" s="8"/>
      <c r="K101" s="8"/>
      <c r="L101" s="8"/>
      <c r="M101" s="8"/>
    </row>
    <row r="102">
      <c r="A102" s="1" t="s">
        <v>17</v>
      </c>
      <c r="C102" s="1" t="s">
        <v>39</v>
      </c>
      <c r="D102" s="1" t="s">
        <v>197</v>
      </c>
      <c r="E102" s="1" t="s">
        <v>198</v>
      </c>
      <c r="F102" s="1">
        <v>1.0</v>
      </c>
      <c r="J102" s="8"/>
      <c r="K102" s="8"/>
      <c r="L102" s="8"/>
      <c r="M102" s="8"/>
    </row>
    <row r="103">
      <c r="A103" s="1" t="s">
        <v>17</v>
      </c>
      <c r="C103" s="1" t="s">
        <v>25</v>
      </c>
      <c r="D103" s="1" t="s">
        <v>199</v>
      </c>
      <c r="E103" s="1" t="s">
        <v>200</v>
      </c>
      <c r="F103" s="1">
        <v>0.0</v>
      </c>
      <c r="J103" s="8"/>
      <c r="K103" s="8"/>
      <c r="L103" s="8"/>
      <c r="M103" s="8"/>
    </row>
    <row r="104">
      <c r="A104" s="1" t="s">
        <v>17</v>
      </c>
      <c r="C104" s="1" t="s">
        <v>25</v>
      </c>
      <c r="D104" s="1" t="s">
        <v>201</v>
      </c>
      <c r="E104" s="1" t="s">
        <v>202</v>
      </c>
      <c r="F104" s="1">
        <v>0.0</v>
      </c>
      <c r="J104" s="8"/>
      <c r="K104" s="8"/>
      <c r="L104" s="8"/>
      <c r="M104" s="8"/>
    </row>
    <row r="105">
      <c r="A105" s="1" t="s">
        <v>17</v>
      </c>
      <c r="C105" s="1" t="s">
        <v>18</v>
      </c>
      <c r="D105" s="1" t="s">
        <v>203</v>
      </c>
      <c r="E105" s="1" t="s">
        <v>204</v>
      </c>
      <c r="F105" s="1">
        <v>0.0</v>
      </c>
      <c r="J105" s="8"/>
      <c r="K105" s="8"/>
      <c r="L105" s="8"/>
      <c r="M105" s="8"/>
    </row>
    <row r="106">
      <c r="A106" s="1" t="s">
        <v>17</v>
      </c>
      <c r="C106" s="1" t="s">
        <v>18</v>
      </c>
      <c r="D106" s="1" t="s">
        <v>205</v>
      </c>
      <c r="E106" s="1" t="s">
        <v>206</v>
      </c>
      <c r="F106" s="1">
        <v>1.0</v>
      </c>
      <c r="J106" s="8"/>
      <c r="K106" s="8"/>
      <c r="L106" s="8"/>
      <c r="M106" s="8"/>
    </row>
    <row r="107">
      <c r="A107" s="1" t="s">
        <v>17</v>
      </c>
      <c r="C107" s="1" t="s">
        <v>28</v>
      </c>
      <c r="D107" s="1" t="s">
        <v>207</v>
      </c>
      <c r="E107" s="1" t="s">
        <v>208</v>
      </c>
      <c r="F107" s="1">
        <v>0.0</v>
      </c>
      <c r="J107" s="8"/>
      <c r="K107" s="8"/>
      <c r="L107" s="8"/>
      <c r="M107" s="8"/>
    </row>
    <row r="108">
      <c r="A108" s="1" t="s">
        <v>17</v>
      </c>
      <c r="C108" s="1" t="s">
        <v>28</v>
      </c>
      <c r="D108" s="1" t="s">
        <v>209</v>
      </c>
      <c r="E108" s="1" t="s">
        <v>210</v>
      </c>
      <c r="F108" s="1">
        <v>0.0</v>
      </c>
      <c r="J108" s="8"/>
      <c r="K108" s="8"/>
      <c r="L108" s="8"/>
      <c r="M108" s="8"/>
    </row>
    <row r="109">
      <c r="A109" s="1" t="s">
        <v>17</v>
      </c>
      <c r="C109" s="1" t="s">
        <v>18</v>
      </c>
      <c r="D109" s="1" t="s">
        <v>211</v>
      </c>
      <c r="E109" s="1" t="s">
        <v>212</v>
      </c>
      <c r="F109" s="1">
        <v>0.0</v>
      </c>
      <c r="J109" s="8"/>
      <c r="K109" s="8"/>
      <c r="L109" s="8"/>
      <c r="M109" s="8"/>
    </row>
    <row r="110">
      <c r="A110" s="1" t="s">
        <v>17</v>
      </c>
      <c r="C110" s="1" t="s">
        <v>25</v>
      </c>
      <c r="D110" s="1" t="s">
        <v>213</v>
      </c>
      <c r="E110" s="1" t="s">
        <v>65</v>
      </c>
      <c r="F110" s="1">
        <v>0.0</v>
      </c>
      <c r="J110" s="8"/>
      <c r="K110" s="8"/>
      <c r="L110" s="8"/>
      <c r="M110" s="8"/>
    </row>
    <row r="111">
      <c r="A111" s="1" t="s">
        <v>17</v>
      </c>
      <c r="C111" s="1" t="s">
        <v>18</v>
      </c>
      <c r="D111" s="1" t="s">
        <v>214</v>
      </c>
      <c r="E111" s="1" t="s">
        <v>215</v>
      </c>
      <c r="F111" s="1">
        <v>0.0</v>
      </c>
      <c r="J111" s="8"/>
      <c r="K111" s="8"/>
      <c r="L111" s="8"/>
      <c r="M111" s="8"/>
    </row>
    <row r="112">
      <c r="A112" s="1" t="s">
        <v>17</v>
      </c>
      <c r="C112" s="1" t="s">
        <v>18</v>
      </c>
      <c r="D112" s="1" t="s">
        <v>216</v>
      </c>
      <c r="E112" s="1" t="s">
        <v>217</v>
      </c>
      <c r="F112" s="1">
        <v>0.0</v>
      </c>
      <c r="J112" s="8"/>
      <c r="K112" s="8"/>
      <c r="L112" s="8"/>
      <c r="M112" s="8"/>
    </row>
    <row r="113">
      <c r="A113" s="1" t="s">
        <v>17</v>
      </c>
      <c r="C113" s="1" t="s">
        <v>39</v>
      </c>
      <c r="D113" s="1" t="s">
        <v>218</v>
      </c>
      <c r="E113" s="1" t="s">
        <v>219</v>
      </c>
      <c r="F113" s="1">
        <v>0.0</v>
      </c>
      <c r="J113" s="8"/>
      <c r="K113" s="8"/>
      <c r="L113" s="8"/>
      <c r="M113" s="8"/>
    </row>
    <row r="114">
      <c r="A114" s="1" t="s">
        <v>17</v>
      </c>
      <c r="C114" s="1" t="s">
        <v>18</v>
      </c>
      <c r="D114" s="1" t="s">
        <v>220</v>
      </c>
      <c r="E114" s="1" t="s">
        <v>221</v>
      </c>
      <c r="F114" s="1">
        <v>0.0</v>
      </c>
      <c r="J114" s="8"/>
      <c r="K114" s="8"/>
      <c r="L114" s="8"/>
      <c r="M114" s="8"/>
    </row>
    <row r="115">
      <c r="A115" s="1" t="s">
        <v>17</v>
      </c>
      <c r="C115" s="1" t="s">
        <v>39</v>
      </c>
      <c r="D115" s="1" t="s">
        <v>222</v>
      </c>
      <c r="E115" s="1" t="s">
        <v>223</v>
      </c>
      <c r="F115" s="1">
        <v>0.0</v>
      </c>
      <c r="J115" s="8"/>
      <c r="K115" s="8"/>
      <c r="L115" s="8"/>
      <c r="M115" s="8"/>
    </row>
    <row r="116">
      <c r="A116" s="1" t="s">
        <v>17</v>
      </c>
      <c r="C116" s="1" t="s">
        <v>28</v>
      </c>
      <c r="D116" s="1" t="s">
        <v>224</v>
      </c>
      <c r="E116" s="1" t="s">
        <v>225</v>
      </c>
      <c r="F116" s="1">
        <v>1.0</v>
      </c>
      <c r="J116" s="8"/>
      <c r="K116" s="8"/>
      <c r="L116" s="8"/>
      <c r="M116" s="8"/>
    </row>
    <row r="117">
      <c r="A117" s="1" t="s">
        <v>17</v>
      </c>
      <c r="C117" s="1" t="s">
        <v>25</v>
      </c>
      <c r="D117" s="1" t="s">
        <v>226</v>
      </c>
      <c r="E117" s="1" t="s">
        <v>227</v>
      </c>
      <c r="F117" s="1">
        <v>0.0</v>
      </c>
      <c r="J117" s="8"/>
      <c r="K117" s="8"/>
      <c r="L117" s="8"/>
      <c r="M117" s="8"/>
    </row>
    <row r="118">
      <c r="A118" s="1" t="s">
        <v>17</v>
      </c>
      <c r="C118" s="1" t="s">
        <v>18</v>
      </c>
      <c r="D118" s="1" t="s">
        <v>228</v>
      </c>
      <c r="E118" s="1" t="s">
        <v>229</v>
      </c>
      <c r="F118" s="1">
        <v>0.0</v>
      </c>
      <c r="J118" s="8"/>
      <c r="K118" s="8"/>
      <c r="L118" s="8"/>
      <c r="M118" s="8"/>
    </row>
    <row r="119">
      <c r="A119" s="1" t="s">
        <v>17</v>
      </c>
      <c r="C119" s="1" t="s">
        <v>36</v>
      </c>
      <c r="D119" s="1" t="s">
        <v>230</v>
      </c>
      <c r="E119" s="1" t="s">
        <v>231</v>
      </c>
      <c r="F119" s="1">
        <v>1.0</v>
      </c>
      <c r="J119" s="8"/>
      <c r="K119" s="8"/>
      <c r="L119" s="8"/>
      <c r="M119" s="8"/>
    </row>
    <row r="120">
      <c r="A120" s="1" t="s">
        <v>17</v>
      </c>
      <c r="C120" s="1" t="s">
        <v>18</v>
      </c>
      <c r="D120" s="1" t="s">
        <v>232</v>
      </c>
      <c r="E120" s="1" t="s">
        <v>233</v>
      </c>
      <c r="F120" s="1">
        <v>0.0</v>
      </c>
      <c r="J120" s="8"/>
      <c r="K120" s="8"/>
      <c r="L120" s="8"/>
      <c r="M120" s="8"/>
    </row>
    <row r="121">
      <c r="A121" s="1" t="s">
        <v>17</v>
      </c>
      <c r="C121" s="1" t="s">
        <v>25</v>
      </c>
      <c r="D121" s="1" t="s">
        <v>234</v>
      </c>
      <c r="E121" s="1" t="s">
        <v>235</v>
      </c>
      <c r="F121" s="1">
        <v>0.0</v>
      </c>
      <c r="J121" s="8"/>
      <c r="K121" s="8"/>
      <c r="L121" s="8"/>
      <c r="M121" s="8"/>
    </row>
    <row r="122">
      <c r="A122" s="1" t="s">
        <v>17</v>
      </c>
      <c r="C122" s="1" t="s">
        <v>39</v>
      </c>
      <c r="D122" s="1" t="s">
        <v>236</v>
      </c>
      <c r="E122" s="1" t="s">
        <v>237</v>
      </c>
      <c r="F122" s="1">
        <v>0.0</v>
      </c>
      <c r="J122" s="8"/>
      <c r="K122" s="8"/>
      <c r="L122" s="8"/>
      <c r="M122" s="8"/>
    </row>
    <row r="123">
      <c r="A123" s="1" t="s">
        <v>17</v>
      </c>
      <c r="C123" s="1" t="s">
        <v>39</v>
      </c>
      <c r="D123" s="1" t="s">
        <v>238</v>
      </c>
      <c r="E123" s="1" t="s">
        <v>239</v>
      </c>
      <c r="F123" s="1">
        <v>1.0</v>
      </c>
      <c r="J123" s="8"/>
      <c r="K123" s="8"/>
      <c r="L123" s="8"/>
      <c r="M123" s="8"/>
    </row>
    <row r="124">
      <c r="A124" s="1" t="s">
        <v>17</v>
      </c>
      <c r="C124" s="1" t="s">
        <v>36</v>
      </c>
      <c r="D124" s="1" t="s">
        <v>240</v>
      </c>
      <c r="E124" s="1" t="s">
        <v>241</v>
      </c>
      <c r="F124" s="1">
        <v>0.0</v>
      </c>
      <c r="J124" s="8"/>
      <c r="K124" s="8"/>
      <c r="L124" s="8"/>
      <c r="M124" s="8"/>
    </row>
    <row r="125">
      <c r="A125" s="1" t="s">
        <v>17</v>
      </c>
      <c r="C125" s="1" t="s">
        <v>18</v>
      </c>
      <c r="D125" s="1" t="s">
        <v>242</v>
      </c>
      <c r="E125" s="1" t="s">
        <v>243</v>
      </c>
      <c r="F125" s="1">
        <v>1.0</v>
      </c>
      <c r="J125" s="8"/>
      <c r="K125" s="8"/>
      <c r="L125" s="8"/>
      <c r="M125" s="8"/>
    </row>
    <row r="126">
      <c r="A126" s="1" t="s">
        <v>17</v>
      </c>
      <c r="C126" s="1" t="s">
        <v>25</v>
      </c>
      <c r="D126" s="1" t="s">
        <v>130</v>
      </c>
      <c r="E126" s="1" t="s">
        <v>244</v>
      </c>
      <c r="F126" s="1">
        <v>1.0</v>
      </c>
      <c r="J126" s="8"/>
      <c r="K126" s="8"/>
      <c r="L126" s="8"/>
      <c r="M126" s="8"/>
    </row>
    <row r="127">
      <c r="A127" s="1" t="s">
        <v>17</v>
      </c>
      <c r="C127" s="1" t="s">
        <v>25</v>
      </c>
      <c r="D127" s="1" t="s">
        <v>245</v>
      </c>
      <c r="E127" s="1" t="s">
        <v>111</v>
      </c>
      <c r="F127" s="1">
        <v>0.0</v>
      </c>
      <c r="J127" s="8"/>
      <c r="K127" s="8"/>
      <c r="L127" s="8"/>
      <c r="M127" s="8"/>
    </row>
    <row r="128">
      <c r="A128" s="1" t="s">
        <v>17</v>
      </c>
      <c r="C128" s="1" t="s">
        <v>39</v>
      </c>
      <c r="D128" s="1" t="s">
        <v>246</v>
      </c>
      <c r="E128" s="1" t="s">
        <v>247</v>
      </c>
      <c r="F128" s="1">
        <v>0.0</v>
      </c>
      <c r="J128" s="8"/>
      <c r="K128" s="8"/>
      <c r="L128" s="8"/>
      <c r="M128" s="8"/>
    </row>
    <row r="129">
      <c r="A129" s="1" t="s">
        <v>17</v>
      </c>
      <c r="C129" s="1" t="s">
        <v>28</v>
      </c>
      <c r="D129" s="1" t="s">
        <v>248</v>
      </c>
      <c r="E129" s="1" t="s">
        <v>249</v>
      </c>
      <c r="F129" s="1">
        <v>0.0</v>
      </c>
      <c r="J129" s="8"/>
      <c r="K129" s="8"/>
      <c r="L129" s="8"/>
      <c r="M129" s="8"/>
    </row>
    <row r="130">
      <c r="A130" s="1" t="s">
        <v>17</v>
      </c>
      <c r="C130" s="1" t="s">
        <v>28</v>
      </c>
      <c r="D130" s="1" t="s">
        <v>250</v>
      </c>
      <c r="E130" s="1" t="s">
        <v>251</v>
      </c>
      <c r="F130" s="1">
        <v>0.0</v>
      </c>
      <c r="J130" s="8"/>
      <c r="K130" s="8"/>
      <c r="L130" s="8"/>
      <c r="M130" s="8"/>
    </row>
    <row r="131">
      <c r="A131" s="1" t="s">
        <v>17</v>
      </c>
      <c r="C131" s="1" t="s">
        <v>18</v>
      </c>
      <c r="D131" s="1" t="s">
        <v>252</v>
      </c>
      <c r="E131" s="1" t="s">
        <v>253</v>
      </c>
      <c r="F131" s="1">
        <v>0.0</v>
      </c>
      <c r="J131" s="8"/>
      <c r="K131" s="8"/>
      <c r="L131" s="8"/>
      <c r="M131" s="8"/>
    </row>
    <row r="132">
      <c r="A132" s="1" t="s">
        <v>17</v>
      </c>
      <c r="C132" s="1" t="s">
        <v>39</v>
      </c>
      <c r="D132" s="1" t="s">
        <v>254</v>
      </c>
      <c r="E132" s="1" t="s">
        <v>255</v>
      </c>
      <c r="F132" s="1">
        <v>0.0</v>
      </c>
      <c r="J132" s="8"/>
      <c r="K132" s="8"/>
      <c r="L132" s="8"/>
      <c r="M132" s="8"/>
    </row>
    <row r="133">
      <c r="A133" s="1" t="s">
        <v>17</v>
      </c>
      <c r="C133" s="1" t="s">
        <v>25</v>
      </c>
      <c r="D133" s="1" t="s">
        <v>256</v>
      </c>
      <c r="E133" s="1" t="s">
        <v>257</v>
      </c>
      <c r="F133" s="1">
        <v>0.0</v>
      </c>
      <c r="J133" s="8"/>
      <c r="K133" s="8"/>
      <c r="L133" s="8"/>
      <c r="M133" s="8"/>
    </row>
    <row r="134">
      <c r="A134" s="1" t="s">
        <v>17</v>
      </c>
      <c r="C134" s="1" t="s">
        <v>39</v>
      </c>
      <c r="D134" s="1" t="s">
        <v>258</v>
      </c>
      <c r="E134" s="1" t="s">
        <v>259</v>
      </c>
      <c r="F134" s="1">
        <v>0.0</v>
      </c>
      <c r="J134" s="8"/>
      <c r="K134" s="8"/>
      <c r="L134" s="8"/>
      <c r="M134" s="8"/>
    </row>
    <row r="135">
      <c r="A135" s="1" t="s">
        <v>17</v>
      </c>
      <c r="C135" s="1" t="s">
        <v>25</v>
      </c>
      <c r="D135" s="1" t="s">
        <v>260</v>
      </c>
      <c r="E135" s="1" t="s">
        <v>261</v>
      </c>
      <c r="F135" s="1">
        <v>0.0</v>
      </c>
      <c r="J135" s="8"/>
      <c r="K135" s="8"/>
      <c r="L135" s="8"/>
      <c r="M135" s="8"/>
    </row>
    <row r="136">
      <c r="A136" s="1" t="s">
        <v>17</v>
      </c>
      <c r="C136" s="1" t="s">
        <v>36</v>
      </c>
      <c r="D136" s="1" t="s">
        <v>262</v>
      </c>
      <c r="E136" s="1" t="s">
        <v>263</v>
      </c>
      <c r="F136" s="1">
        <v>0.0</v>
      </c>
      <c r="J136" s="8"/>
      <c r="K136" s="8"/>
      <c r="L136" s="8"/>
      <c r="M136" s="8"/>
    </row>
    <row r="137">
      <c r="A137" s="1" t="s">
        <v>17</v>
      </c>
      <c r="C137" s="1" t="s">
        <v>18</v>
      </c>
      <c r="D137" s="1" t="s">
        <v>264</v>
      </c>
      <c r="E137" s="1" t="s">
        <v>265</v>
      </c>
      <c r="F137" s="1">
        <v>0.0</v>
      </c>
      <c r="J137" s="8"/>
      <c r="K137" s="8"/>
      <c r="L137" s="8"/>
      <c r="M137" s="8"/>
    </row>
    <row r="138">
      <c r="A138" s="1" t="s">
        <v>17</v>
      </c>
      <c r="C138" s="1" t="s">
        <v>18</v>
      </c>
      <c r="D138" s="1" t="s">
        <v>266</v>
      </c>
      <c r="E138" s="1" t="s">
        <v>267</v>
      </c>
      <c r="F138" s="1">
        <v>0.0</v>
      </c>
      <c r="J138" s="8"/>
      <c r="K138" s="8"/>
      <c r="L138" s="8"/>
      <c r="M138" s="8"/>
    </row>
    <row r="139">
      <c r="A139" s="1" t="s">
        <v>17</v>
      </c>
      <c r="C139" s="1" t="s">
        <v>28</v>
      </c>
      <c r="D139" s="1" t="s">
        <v>268</v>
      </c>
      <c r="E139" s="1" t="s">
        <v>269</v>
      </c>
      <c r="F139" s="1">
        <v>0.0</v>
      </c>
      <c r="J139" s="8"/>
      <c r="K139" s="8"/>
      <c r="L139" s="8"/>
      <c r="M139" s="8"/>
    </row>
    <row r="140">
      <c r="A140" s="1" t="s">
        <v>17</v>
      </c>
      <c r="C140" s="1" t="s">
        <v>28</v>
      </c>
      <c r="D140" s="1" t="s">
        <v>270</v>
      </c>
      <c r="E140" s="1" t="s">
        <v>271</v>
      </c>
      <c r="F140" s="1">
        <v>0.0</v>
      </c>
      <c r="J140" s="8"/>
      <c r="K140" s="8"/>
      <c r="L140" s="8"/>
      <c r="M140" s="8"/>
    </row>
    <row r="141">
      <c r="A141" s="1" t="s">
        <v>17</v>
      </c>
      <c r="C141" s="1" t="s">
        <v>28</v>
      </c>
      <c r="D141" s="1" t="s">
        <v>272</v>
      </c>
      <c r="E141" s="1" t="s">
        <v>273</v>
      </c>
      <c r="F141" s="1">
        <v>0.0</v>
      </c>
      <c r="J141" s="8"/>
      <c r="K141" s="8"/>
      <c r="L141" s="8"/>
      <c r="M141" s="8"/>
    </row>
    <row r="142">
      <c r="A142" s="1" t="s">
        <v>17</v>
      </c>
      <c r="C142" s="1" t="s">
        <v>39</v>
      </c>
      <c r="D142" s="1" t="s">
        <v>274</v>
      </c>
      <c r="E142" s="1" t="s">
        <v>275</v>
      </c>
      <c r="F142" s="1">
        <v>0.0</v>
      </c>
      <c r="J142" s="8"/>
      <c r="K142" s="8"/>
      <c r="L142" s="8"/>
      <c r="M142" s="8"/>
    </row>
    <row r="143">
      <c r="A143" s="1" t="s">
        <v>17</v>
      </c>
      <c r="C143" s="1" t="s">
        <v>39</v>
      </c>
      <c r="D143" s="1" t="s">
        <v>276</v>
      </c>
      <c r="E143" s="1" t="s">
        <v>277</v>
      </c>
      <c r="F143" s="1">
        <v>0.0</v>
      </c>
      <c r="J143" s="8"/>
      <c r="K143" s="8"/>
      <c r="L143" s="8"/>
      <c r="M143" s="8"/>
    </row>
    <row r="144">
      <c r="A144" s="1" t="s">
        <v>17</v>
      </c>
      <c r="C144" s="1" t="s">
        <v>36</v>
      </c>
      <c r="D144" s="1" t="s">
        <v>278</v>
      </c>
      <c r="E144" s="1" t="s">
        <v>279</v>
      </c>
      <c r="F144" s="1">
        <v>1.0</v>
      </c>
      <c r="J144" s="8"/>
      <c r="K144" s="8"/>
      <c r="L144" s="8"/>
      <c r="M144" s="8"/>
    </row>
    <row r="145">
      <c r="A145" s="1" t="s">
        <v>17</v>
      </c>
      <c r="C145" s="1" t="s">
        <v>18</v>
      </c>
      <c r="D145" s="1" t="s">
        <v>280</v>
      </c>
      <c r="E145" s="1" t="s">
        <v>281</v>
      </c>
      <c r="F145" s="1">
        <v>1.0</v>
      </c>
      <c r="J145" s="8"/>
      <c r="K145" s="8"/>
      <c r="L145" s="8"/>
      <c r="M145" s="8"/>
    </row>
    <row r="146">
      <c r="A146" s="1" t="s">
        <v>17</v>
      </c>
      <c r="C146" s="1" t="s">
        <v>18</v>
      </c>
      <c r="D146" s="1" t="s">
        <v>282</v>
      </c>
      <c r="E146" s="1" t="s">
        <v>22</v>
      </c>
      <c r="F146" s="1">
        <v>1.0</v>
      </c>
      <c r="J146" s="8"/>
      <c r="K146" s="8"/>
      <c r="L146" s="8"/>
      <c r="M146" s="8"/>
    </row>
    <row r="147">
      <c r="A147" s="1" t="s">
        <v>17</v>
      </c>
      <c r="C147" s="1" t="s">
        <v>18</v>
      </c>
      <c r="D147" s="1" t="s">
        <v>283</v>
      </c>
      <c r="E147" s="1" t="s">
        <v>284</v>
      </c>
      <c r="F147" s="1">
        <v>1.0</v>
      </c>
      <c r="J147" s="8"/>
      <c r="K147" s="8"/>
      <c r="L147" s="8"/>
      <c r="M147" s="8"/>
    </row>
    <row r="148">
      <c r="A148" s="1" t="s">
        <v>17</v>
      </c>
      <c r="C148" s="1" t="s">
        <v>39</v>
      </c>
      <c r="D148" s="1" t="s">
        <v>285</v>
      </c>
      <c r="E148" s="1" t="s">
        <v>286</v>
      </c>
      <c r="F148" s="1">
        <v>0.0</v>
      </c>
      <c r="J148" s="8"/>
      <c r="K148" s="8"/>
      <c r="L148" s="8"/>
      <c r="M148" s="8"/>
    </row>
    <row r="149">
      <c r="A149" s="1" t="s">
        <v>17</v>
      </c>
      <c r="C149" s="1" t="s">
        <v>36</v>
      </c>
      <c r="D149" s="1" t="s">
        <v>287</v>
      </c>
      <c r="E149" s="1" t="s">
        <v>288</v>
      </c>
      <c r="F149" s="1">
        <v>1.0</v>
      </c>
      <c r="J149" s="8"/>
      <c r="K149" s="8"/>
      <c r="L149" s="8"/>
      <c r="M149" s="8"/>
    </row>
    <row r="150">
      <c r="J150" s="8"/>
      <c r="K150" s="8"/>
      <c r="L150" s="8"/>
      <c r="M150" s="8"/>
    </row>
    <row r="151">
      <c r="J151" s="8"/>
      <c r="K151" s="8"/>
      <c r="L151" s="8"/>
      <c r="M151" s="8"/>
    </row>
    <row r="152">
      <c r="J152" s="8"/>
      <c r="K152" s="8"/>
      <c r="L152" s="8"/>
      <c r="M152" s="8"/>
    </row>
    <row r="153">
      <c r="J153" s="8"/>
      <c r="K153" s="8"/>
      <c r="L153" s="8"/>
      <c r="M153" s="8"/>
    </row>
    <row r="154">
      <c r="J154" s="8"/>
      <c r="K154" s="8"/>
      <c r="L154" s="8"/>
      <c r="M154" s="8"/>
    </row>
    <row r="155">
      <c r="J155" s="8"/>
      <c r="K155" s="8"/>
      <c r="L155" s="8"/>
      <c r="M155" s="8"/>
    </row>
    <row r="156">
      <c r="J156" s="8"/>
      <c r="K156" s="8"/>
      <c r="L156" s="8"/>
      <c r="M156" s="8"/>
    </row>
    <row r="157">
      <c r="J157" s="8"/>
      <c r="K157" s="8"/>
      <c r="L157" s="8"/>
      <c r="M157" s="8"/>
    </row>
    <row r="158">
      <c r="J158" s="8"/>
      <c r="K158" s="8"/>
      <c r="L158" s="8"/>
      <c r="M158" s="8"/>
    </row>
    <row r="159">
      <c r="J159" s="8"/>
      <c r="K159" s="8"/>
      <c r="L159" s="8"/>
      <c r="M159" s="8"/>
    </row>
    <row r="160">
      <c r="J160" s="8"/>
      <c r="K160" s="8"/>
      <c r="L160" s="8"/>
      <c r="M160" s="8"/>
    </row>
    <row r="161">
      <c r="J161" s="8"/>
      <c r="K161" s="8"/>
      <c r="L161" s="8"/>
      <c r="M161" s="8"/>
    </row>
    <row r="162">
      <c r="J162" s="8"/>
      <c r="K162" s="8"/>
      <c r="L162" s="8"/>
      <c r="M162" s="8"/>
    </row>
    <row r="163">
      <c r="J163" s="8"/>
      <c r="K163" s="8"/>
      <c r="L163" s="8"/>
      <c r="M163" s="8"/>
    </row>
    <row r="164">
      <c r="J164" s="8"/>
      <c r="K164" s="8"/>
      <c r="L164" s="8"/>
      <c r="M164" s="8"/>
    </row>
    <row r="165">
      <c r="J165" s="8"/>
      <c r="K165" s="8"/>
      <c r="L165" s="8"/>
      <c r="M165" s="8"/>
    </row>
    <row r="166">
      <c r="J166" s="8"/>
      <c r="K166" s="8"/>
      <c r="L166" s="8"/>
      <c r="M166" s="8"/>
    </row>
    <row r="167">
      <c r="J167" s="8"/>
      <c r="K167" s="8"/>
      <c r="L167" s="8"/>
      <c r="M167" s="8"/>
    </row>
    <row r="168">
      <c r="J168" s="8"/>
      <c r="K168" s="8"/>
      <c r="L168" s="8"/>
      <c r="M168" s="8"/>
    </row>
    <row r="169">
      <c r="J169" s="8"/>
      <c r="K169" s="8"/>
      <c r="L169" s="8"/>
      <c r="M169" s="8"/>
    </row>
    <row r="170">
      <c r="J170" s="8"/>
      <c r="K170" s="8"/>
      <c r="L170" s="8"/>
      <c r="M170" s="8"/>
    </row>
    <row r="171">
      <c r="J171" s="8"/>
      <c r="K171" s="8"/>
      <c r="L171" s="8"/>
      <c r="M171" s="8"/>
    </row>
    <row r="172">
      <c r="J172" s="8"/>
      <c r="K172" s="8"/>
      <c r="L172" s="8"/>
      <c r="M172" s="8"/>
    </row>
    <row r="173">
      <c r="J173" s="8"/>
      <c r="K173" s="8"/>
      <c r="L173" s="8"/>
      <c r="M173" s="8"/>
    </row>
    <row r="174">
      <c r="J174" s="8"/>
      <c r="K174" s="8"/>
      <c r="L174" s="8"/>
      <c r="M174" s="8"/>
    </row>
    <row r="175">
      <c r="J175" s="8"/>
      <c r="K175" s="8"/>
      <c r="L175" s="8"/>
      <c r="M175" s="8"/>
    </row>
    <row r="176">
      <c r="J176" s="8"/>
      <c r="K176" s="8"/>
      <c r="L176" s="8"/>
      <c r="M176" s="8"/>
    </row>
    <row r="177">
      <c r="J177" s="8"/>
      <c r="K177" s="8"/>
      <c r="L177" s="8"/>
      <c r="M177" s="8"/>
    </row>
    <row r="178">
      <c r="J178" s="8"/>
      <c r="K178" s="8"/>
      <c r="L178" s="8"/>
      <c r="M178" s="8"/>
    </row>
    <row r="179">
      <c r="J179" s="8"/>
      <c r="K179" s="8"/>
      <c r="L179" s="8"/>
      <c r="M179" s="8"/>
    </row>
    <row r="180">
      <c r="J180" s="8"/>
      <c r="K180" s="8"/>
      <c r="L180" s="8"/>
      <c r="M180" s="8"/>
    </row>
    <row r="181">
      <c r="J181" s="8"/>
      <c r="K181" s="8"/>
      <c r="L181" s="8"/>
      <c r="M181" s="8"/>
    </row>
    <row r="182">
      <c r="J182" s="8"/>
      <c r="K182" s="8"/>
      <c r="L182" s="8"/>
      <c r="M182" s="8"/>
    </row>
    <row r="183">
      <c r="J183" s="8"/>
      <c r="K183" s="8"/>
      <c r="L183" s="8"/>
      <c r="M183" s="8"/>
    </row>
    <row r="184">
      <c r="J184" s="8"/>
      <c r="K184" s="8"/>
      <c r="L184" s="8"/>
      <c r="M184" s="8"/>
    </row>
    <row r="185">
      <c r="J185" s="8"/>
      <c r="K185" s="8"/>
      <c r="L185" s="8"/>
      <c r="M185" s="8"/>
    </row>
    <row r="186">
      <c r="J186" s="8"/>
      <c r="K186" s="8"/>
      <c r="L186" s="8"/>
      <c r="M186" s="8"/>
    </row>
    <row r="187">
      <c r="J187" s="8"/>
      <c r="K187" s="8"/>
      <c r="L187" s="8"/>
      <c r="M187" s="8"/>
    </row>
    <row r="188">
      <c r="J188" s="8"/>
      <c r="K188" s="8"/>
      <c r="L188" s="8"/>
      <c r="M188" s="8"/>
    </row>
    <row r="189">
      <c r="J189" s="8"/>
      <c r="K189" s="8"/>
      <c r="L189" s="8"/>
      <c r="M189" s="8"/>
    </row>
    <row r="190">
      <c r="J190" s="8"/>
      <c r="K190" s="8"/>
      <c r="L190" s="8"/>
      <c r="M190" s="8"/>
    </row>
    <row r="191">
      <c r="J191" s="8"/>
      <c r="K191" s="8"/>
      <c r="L191" s="8"/>
      <c r="M191" s="8"/>
    </row>
    <row r="192">
      <c r="J192" s="8"/>
      <c r="K192" s="8"/>
      <c r="L192" s="8"/>
      <c r="M192" s="8"/>
    </row>
    <row r="193">
      <c r="J193" s="8"/>
      <c r="K193" s="8"/>
      <c r="L193" s="8"/>
      <c r="M193" s="8"/>
    </row>
    <row r="194">
      <c r="J194" s="8"/>
      <c r="K194" s="8"/>
      <c r="L194" s="8"/>
      <c r="M194" s="8"/>
    </row>
    <row r="195">
      <c r="J195" s="8"/>
      <c r="K195" s="8"/>
      <c r="L195" s="8"/>
      <c r="M195" s="8"/>
    </row>
    <row r="196">
      <c r="J196" s="8"/>
      <c r="K196" s="8"/>
      <c r="L196" s="8"/>
      <c r="M196" s="8"/>
    </row>
    <row r="197">
      <c r="J197" s="8"/>
      <c r="K197" s="8"/>
      <c r="L197" s="8"/>
      <c r="M197" s="8"/>
    </row>
    <row r="198">
      <c r="J198" s="8"/>
      <c r="K198" s="8"/>
      <c r="L198" s="8"/>
      <c r="M198" s="8"/>
    </row>
    <row r="199">
      <c r="J199" s="8"/>
      <c r="K199" s="8"/>
      <c r="L199" s="8"/>
      <c r="M199" s="8"/>
    </row>
    <row r="200">
      <c r="J200" s="8"/>
      <c r="K200" s="8"/>
      <c r="L200" s="8"/>
      <c r="M200" s="8"/>
    </row>
    <row r="201">
      <c r="J201" s="8"/>
      <c r="K201" s="8"/>
      <c r="L201" s="8"/>
      <c r="M201" s="8"/>
    </row>
    <row r="202">
      <c r="J202" s="8"/>
      <c r="K202" s="8"/>
      <c r="L202" s="8"/>
      <c r="M202" s="8"/>
    </row>
    <row r="203">
      <c r="J203" s="8"/>
      <c r="K203" s="8"/>
      <c r="L203" s="8"/>
      <c r="M203" s="8"/>
    </row>
    <row r="204">
      <c r="J204" s="8"/>
      <c r="K204" s="8"/>
      <c r="L204" s="8"/>
      <c r="M204" s="8"/>
    </row>
    <row r="205">
      <c r="J205" s="8"/>
      <c r="K205" s="8"/>
      <c r="L205" s="8"/>
      <c r="M205" s="8"/>
    </row>
    <row r="206">
      <c r="J206" s="8"/>
      <c r="K206" s="8"/>
      <c r="L206" s="8"/>
      <c r="M206" s="8"/>
    </row>
    <row r="207">
      <c r="J207" s="8"/>
      <c r="K207" s="8"/>
      <c r="L207" s="8"/>
      <c r="M207" s="8"/>
    </row>
    <row r="208">
      <c r="J208" s="8"/>
      <c r="K208" s="8"/>
      <c r="L208" s="8"/>
      <c r="M208" s="8"/>
    </row>
    <row r="209">
      <c r="J209" s="8"/>
      <c r="K209" s="8"/>
      <c r="L209" s="8"/>
      <c r="M209" s="8"/>
    </row>
    <row r="210">
      <c r="J210" s="8"/>
      <c r="K210" s="8"/>
      <c r="L210" s="8"/>
      <c r="M210" s="8"/>
    </row>
    <row r="211">
      <c r="J211" s="8"/>
      <c r="K211" s="8"/>
      <c r="L211" s="8"/>
      <c r="M211" s="8"/>
    </row>
    <row r="212">
      <c r="J212" s="8"/>
      <c r="K212" s="8"/>
      <c r="L212" s="8"/>
      <c r="M212" s="8"/>
    </row>
    <row r="213">
      <c r="J213" s="8"/>
      <c r="K213" s="8"/>
      <c r="L213" s="8"/>
      <c r="M213" s="8"/>
    </row>
    <row r="214">
      <c r="J214" s="8"/>
      <c r="K214" s="8"/>
      <c r="L214" s="8"/>
      <c r="M214" s="8"/>
    </row>
    <row r="215">
      <c r="J215" s="8"/>
      <c r="K215" s="8"/>
      <c r="L215" s="8"/>
      <c r="M215" s="8"/>
    </row>
    <row r="216">
      <c r="J216" s="8"/>
      <c r="K216" s="8"/>
      <c r="L216" s="8"/>
      <c r="M216" s="8"/>
    </row>
    <row r="217">
      <c r="J217" s="8"/>
      <c r="K217" s="8"/>
      <c r="L217" s="8"/>
      <c r="M217" s="8"/>
    </row>
    <row r="218">
      <c r="J218" s="8"/>
      <c r="K218" s="8"/>
      <c r="L218" s="8"/>
      <c r="M218" s="8"/>
    </row>
    <row r="219">
      <c r="J219" s="8"/>
      <c r="K219" s="8"/>
      <c r="L219" s="8"/>
      <c r="M219" s="8"/>
    </row>
    <row r="220">
      <c r="J220" s="8"/>
      <c r="K220" s="8"/>
      <c r="L220" s="8"/>
      <c r="M220" s="8"/>
    </row>
    <row r="221">
      <c r="J221" s="8"/>
      <c r="K221" s="8"/>
      <c r="L221" s="8"/>
      <c r="M221" s="8"/>
    </row>
    <row r="222">
      <c r="J222" s="8"/>
      <c r="K222" s="8"/>
      <c r="L222" s="8"/>
      <c r="M222" s="8"/>
    </row>
    <row r="223">
      <c r="J223" s="8"/>
      <c r="K223" s="8"/>
      <c r="L223" s="8"/>
      <c r="M223" s="8"/>
    </row>
    <row r="224">
      <c r="J224" s="8"/>
      <c r="K224" s="8"/>
      <c r="L224" s="8"/>
      <c r="M224" s="8"/>
    </row>
    <row r="225">
      <c r="J225" s="8"/>
      <c r="K225" s="8"/>
      <c r="L225" s="8"/>
      <c r="M225" s="8"/>
    </row>
    <row r="226">
      <c r="J226" s="8"/>
      <c r="K226" s="8"/>
      <c r="L226" s="8"/>
      <c r="M226" s="8"/>
    </row>
    <row r="227">
      <c r="J227" s="8"/>
      <c r="K227" s="8"/>
      <c r="L227" s="8"/>
      <c r="M227" s="8"/>
    </row>
    <row r="228">
      <c r="J228" s="8"/>
      <c r="K228" s="8"/>
      <c r="L228" s="8"/>
      <c r="M228" s="8"/>
    </row>
    <row r="229">
      <c r="J229" s="8"/>
      <c r="K229" s="8"/>
      <c r="L229" s="8"/>
      <c r="M229" s="8"/>
    </row>
    <row r="230">
      <c r="J230" s="8"/>
      <c r="K230" s="8"/>
      <c r="L230" s="8"/>
      <c r="M230" s="8"/>
    </row>
    <row r="231">
      <c r="J231" s="8"/>
      <c r="K231" s="8"/>
      <c r="L231" s="8"/>
      <c r="M231" s="8"/>
    </row>
    <row r="232">
      <c r="J232" s="8"/>
      <c r="K232" s="8"/>
      <c r="L232" s="8"/>
      <c r="M232" s="8"/>
    </row>
    <row r="233">
      <c r="J233" s="8"/>
      <c r="K233" s="8"/>
      <c r="L233" s="8"/>
      <c r="M233" s="8"/>
    </row>
    <row r="234">
      <c r="J234" s="8"/>
      <c r="K234" s="8"/>
      <c r="L234" s="8"/>
      <c r="M234" s="8"/>
    </row>
    <row r="235">
      <c r="J235" s="8"/>
      <c r="K235" s="8"/>
      <c r="L235" s="8"/>
      <c r="M235" s="8"/>
    </row>
    <row r="236">
      <c r="J236" s="8"/>
      <c r="K236" s="8"/>
      <c r="L236" s="8"/>
      <c r="M236" s="8"/>
    </row>
    <row r="237">
      <c r="J237" s="8"/>
      <c r="K237" s="8"/>
      <c r="L237" s="8"/>
      <c r="M237" s="8"/>
    </row>
    <row r="238">
      <c r="J238" s="8"/>
      <c r="K238" s="8"/>
      <c r="L238" s="8"/>
      <c r="M238" s="8"/>
    </row>
    <row r="239">
      <c r="J239" s="8"/>
      <c r="K239" s="8"/>
      <c r="L239" s="8"/>
      <c r="M239" s="8"/>
    </row>
    <row r="240">
      <c r="J240" s="8"/>
      <c r="K240" s="8"/>
      <c r="L240" s="8"/>
      <c r="M240" s="8"/>
    </row>
    <row r="241">
      <c r="J241" s="8"/>
      <c r="K241" s="8"/>
      <c r="L241" s="8"/>
      <c r="M241" s="8"/>
    </row>
    <row r="242">
      <c r="J242" s="8"/>
      <c r="K242" s="8"/>
      <c r="L242" s="8"/>
      <c r="M242" s="8"/>
    </row>
    <row r="243">
      <c r="J243" s="8"/>
      <c r="K243" s="8"/>
      <c r="L243" s="8"/>
      <c r="M243" s="8"/>
    </row>
    <row r="244">
      <c r="J244" s="8"/>
      <c r="K244" s="8"/>
      <c r="L244" s="8"/>
      <c r="M244" s="8"/>
    </row>
    <row r="245">
      <c r="J245" s="8"/>
      <c r="K245" s="8"/>
      <c r="L245" s="8"/>
      <c r="M245" s="8"/>
    </row>
    <row r="246">
      <c r="J246" s="8"/>
      <c r="K246" s="8"/>
      <c r="L246" s="8"/>
      <c r="M246" s="8"/>
    </row>
    <row r="247">
      <c r="J247" s="8"/>
      <c r="K247" s="8"/>
      <c r="L247" s="8"/>
      <c r="M247" s="8"/>
    </row>
    <row r="248">
      <c r="J248" s="8"/>
      <c r="K248" s="8"/>
      <c r="L248" s="8"/>
      <c r="M248" s="8"/>
    </row>
    <row r="249">
      <c r="J249" s="8"/>
      <c r="K249" s="8"/>
      <c r="L249" s="8"/>
      <c r="M249" s="8"/>
    </row>
    <row r="250">
      <c r="J250" s="8"/>
      <c r="K250" s="8"/>
      <c r="L250" s="8"/>
      <c r="M250" s="8"/>
    </row>
    <row r="251">
      <c r="J251" s="8"/>
      <c r="K251" s="8"/>
      <c r="L251" s="8"/>
      <c r="M251" s="8"/>
    </row>
    <row r="252">
      <c r="J252" s="8"/>
      <c r="K252" s="8"/>
      <c r="L252" s="8"/>
      <c r="M252" s="8"/>
    </row>
    <row r="253">
      <c r="J253" s="8"/>
      <c r="K253" s="8"/>
      <c r="L253" s="8"/>
      <c r="M253" s="8"/>
    </row>
    <row r="254">
      <c r="J254" s="8"/>
      <c r="K254" s="8"/>
      <c r="L254" s="8"/>
      <c r="M254" s="8"/>
    </row>
    <row r="255">
      <c r="J255" s="8"/>
      <c r="K255" s="8"/>
      <c r="L255" s="8"/>
      <c r="M255" s="8"/>
    </row>
    <row r="256">
      <c r="J256" s="8"/>
      <c r="K256" s="8"/>
      <c r="L256" s="8"/>
      <c r="M256" s="8"/>
    </row>
    <row r="257">
      <c r="J257" s="8"/>
      <c r="K257" s="8"/>
      <c r="L257" s="8"/>
      <c r="M257" s="8"/>
    </row>
    <row r="258">
      <c r="J258" s="8"/>
      <c r="K258" s="8"/>
      <c r="L258" s="8"/>
      <c r="M258" s="8"/>
    </row>
    <row r="259">
      <c r="J259" s="8"/>
      <c r="K259" s="8"/>
      <c r="L259" s="8"/>
      <c r="M259" s="8"/>
    </row>
    <row r="260">
      <c r="J260" s="8"/>
      <c r="K260" s="8"/>
      <c r="L260" s="8"/>
      <c r="M260" s="8"/>
    </row>
    <row r="261">
      <c r="J261" s="8"/>
      <c r="K261" s="8"/>
      <c r="L261" s="8"/>
      <c r="M261" s="8"/>
    </row>
    <row r="262">
      <c r="J262" s="8"/>
      <c r="K262" s="8"/>
      <c r="L262" s="8"/>
      <c r="M262" s="8"/>
    </row>
    <row r="263">
      <c r="J263" s="8"/>
      <c r="K263" s="8"/>
      <c r="L263" s="8"/>
      <c r="M263" s="8"/>
    </row>
    <row r="264">
      <c r="J264" s="8"/>
      <c r="K264" s="8"/>
      <c r="L264" s="8"/>
      <c r="M264" s="8"/>
    </row>
    <row r="265">
      <c r="J265" s="8"/>
      <c r="K265" s="8"/>
      <c r="L265" s="8"/>
      <c r="M265" s="8"/>
    </row>
    <row r="266">
      <c r="J266" s="8"/>
      <c r="K266" s="8"/>
      <c r="L266" s="8"/>
      <c r="M266" s="8"/>
    </row>
    <row r="267">
      <c r="J267" s="8"/>
      <c r="K267" s="8"/>
      <c r="L267" s="8"/>
      <c r="M267" s="8"/>
    </row>
    <row r="268">
      <c r="J268" s="8"/>
      <c r="K268" s="8"/>
      <c r="L268" s="8"/>
      <c r="M268" s="8"/>
    </row>
    <row r="269">
      <c r="J269" s="8"/>
      <c r="K269" s="8"/>
      <c r="L269" s="8"/>
      <c r="M269" s="8"/>
    </row>
    <row r="270">
      <c r="J270" s="8"/>
      <c r="K270" s="8"/>
      <c r="L270" s="8"/>
      <c r="M270" s="8"/>
    </row>
    <row r="271">
      <c r="J271" s="8"/>
      <c r="K271" s="8"/>
      <c r="L271" s="8"/>
      <c r="M271" s="8"/>
    </row>
    <row r="272">
      <c r="J272" s="8"/>
      <c r="K272" s="8"/>
      <c r="L272" s="8"/>
      <c r="M272" s="8"/>
    </row>
    <row r="273">
      <c r="J273" s="8"/>
      <c r="K273" s="8"/>
      <c r="L273" s="8"/>
      <c r="M273" s="8"/>
    </row>
    <row r="274">
      <c r="J274" s="8"/>
      <c r="K274" s="8"/>
      <c r="L274" s="8"/>
      <c r="M274" s="8"/>
    </row>
    <row r="275">
      <c r="J275" s="8"/>
      <c r="K275" s="8"/>
      <c r="L275" s="8"/>
      <c r="M275" s="8"/>
    </row>
    <row r="276">
      <c r="J276" s="8"/>
      <c r="K276" s="8"/>
      <c r="L276" s="8"/>
      <c r="M276" s="8"/>
    </row>
    <row r="277">
      <c r="J277" s="8"/>
      <c r="K277" s="8"/>
      <c r="L277" s="8"/>
      <c r="M277" s="8"/>
    </row>
    <row r="278">
      <c r="J278" s="8"/>
      <c r="K278" s="8"/>
      <c r="L278" s="8"/>
      <c r="M278" s="8"/>
    </row>
    <row r="279">
      <c r="J279" s="8"/>
      <c r="K279" s="8"/>
      <c r="L279" s="8"/>
      <c r="M279" s="8"/>
    </row>
    <row r="280">
      <c r="J280" s="8"/>
      <c r="K280" s="8"/>
      <c r="L280" s="8"/>
      <c r="M280" s="8"/>
    </row>
    <row r="281">
      <c r="J281" s="8"/>
      <c r="K281" s="8"/>
      <c r="L281" s="8"/>
      <c r="M281" s="8"/>
    </row>
    <row r="282">
      <c r="J282" s="8"/>
      <c r="K282" s="8"/>
      <c r="L282" s="8"/>
      <c r="M282" s="8"/>
    </row>
    <row r="283">
      <c r="J283" s="8"/>
      <c r="K283" s="8"/>
      <c r="L283" s="8"/>
      <c r="M283" s="8"/>
    </row>
    <row r="284">
      <c r="J284" s="8"/>
      <c r="K284" s="8"/>
      <c r="L284" s="8"/>
      <c r="M284" s="8"/>
    </row>
    <row r="285">
      <c r="J285" s="8"/>
      <c r="K285" s="8"/>
      <c r="L285" s="8"/>
      <c r="M285" s="8"/>
    </row>
    <row r="286">
      <c r="J286" s="8"/>
      <c r="K286" s="8"/>
      <c r="L286" s="8"/>
      <c r="M286" s="8"/>
    </row>
    <row r="287">
      <c r="J287" s="8"/>
      <c r="K287" s="8"/>
      <c r="L287" s="8"/>
      <c r="M287" s="8"/>
    </row>
    <row r="288">
      <c r="J288" s="8"/>
      <c r="K288" s="8"/>
      <c r="L288" s="8"/>
      <c r="M288" s="8"/>
    </row>
    <row r="289">
      <c r="J289" s="8"/>
      <c r="K289" s="8"/>
      <c r="L289" s="8"/>
      <c r="M289" s="8"/>
    </row>
    <row r="290">
      <c r="J290" s="8"/>
      <c r="K290" s="8"/>
      <c r="L290" s="8"/>
      <c r="M290" s="8"/>
    </row>
    <row r="291">
      <c r="J291" s="8"/>
      <c r="K291" s="8"/>
      <c r="L291" s="8"/>
      <c r="M291" s="8"/>
    </row>
    <row r="292">
      <c r="J292" s="8"/>
      <c r="K292" s="8"/>
      <c r="L292" s="8"/>
      <c r="M292" s="8"/>
    </row>
    <row r="293">
      <c r="J293" s="8"/>
      <c r="K293" s="8"/>
      <c r="L293" s="8"/>
      <c r="M293" s="8"/>
    </row>
    <row r="294">
      <c r="J294" s="8"/>
      <c r="K294" s="8"/>
      <c r="L294" s="8"/>
      <c r="M294" s="8"/>
    </row>
    <row r="295">
      <c r="J295" s="8"/>
      <c r="K295" s="8"/>
      <c r="L295" s="8"/>
      <c r="M295" s="8"/>
    </row>
    <row r="296">
      <c r="J296" s="8"/>
      <c r="K296" s="8"/>
      <c r="L296" s="8"/>
      <c r="M296" s="8"/>
    </row>
    <row r="297">
      <c r="J297" s="8"/>
      <c r="K297" s="8"/>
      <c r="L297" s="8"/>
      <c r="M297" s="8"/>
    </row>
    <row r="298">
      <c r="J298" s="8"/>
      <c r="K298" s="8"/>
      <c r="L298" s="8"/>
      <c r="M298" s="8"/>
    </row>
    <row r="299">
      <c r="J299" s="8"/>
      <c r="K299" s="8"/>
      <c r="L299" s="8"/>
      <c r="M299" s="8"/>
    </row>
    <row r="300">
      <c r="J300" s="8"/>
      <c r="K300" s="8"/>
      <c r="L300" s="8"/>
      <c r="M300" s="8"/>
    </row>
    <row r="301">
      <c r="J301" s="8"/>
      <c r="K301" s="8"/>
      <c r="L301" s="8"/>
      <c r="M301" s="8"/>
    </row>
    <row r="302">
      <c r="J302" s="8"/>
      <c r="K302" s="8"/>
      <c r="L302" s="8"/>
      <c r="M302" s="8"/>
    </row>
    <row r="303">
      <c r="J303" s="8"/>
      <c r="K303" s="8"/>
      <c r="L303" s="8"/>
      <c r="M303" s="8"/>
    </row>
    <row r="304">
      <c r="J304" s="8"/>
      <c r="K304" s="8"/>
      <c r="L304" s="8"/>
      <c r="M304" s="8"/>
    </row>
    <row r="305">
      <c r="J305" s="8"/>
      <c r="K305" s="8"/>
      <c r="L305" s="8"/>
      <c r="M305" s="8"/>
    </row>
    <row r="306">
      <c r="J306" s="8"/>
      <c r="K306" s="8"/>
      <c r="L306" s="8"/>
      <c r="M306" s="8"/>
    </row>
    <row r="307">
      <c r="J307" s="8"/>
      <c r="K307" s="8"/>
      <c r="L307" s="8"/>
      <c r="M307" s="8"/>
    </row>
    <row r="308">
      <c r="J308" s="8"/>
      <c r="K308" s="8"/>
      <c r="L308" s="8"/>
      <c r="M308" s="8"/>
    </row>
    <row r="309">
      <c r="J309" s="8"/>
      <c r="K309" s="8"/>
      <c r="L309" s="8"/>
      <c r="M309" s="8"/>
    </row>
    <row r="310">
      <c r="J310" s="8"/>
      <c r="K310" s="8"/>
      <c r="L310" s="8"/>
      <c r="M310" s="8"/>
    </row>
    <row r="311">
      <c r="J311" s="8"/>
      <c r="K311" s="8"/>
      <c r="L311" s="8"/>
      <c r="M311" s="8"/>
    </row>
    <row r="312">
      <c r="J312" s="8"/>
      <c r="K312" s="8"/>
      <c r="L312" s="8"/>
      <c r="M312" s="8"/>
    </row>
    <row r="313">
      <c r="J313" s="8"/>
      <c r="K313" s="8"/>
      <c r="L313" s="8"/>
      <c r="M313" s="8"/>
    </row>
    <row r="314">
      <c r="J314" s="8"/>
      <c r="K314" s="8"/>
      <c r="L314" s="8"/>
      <c r="M314" s="8"/>
    </row>
    <row r="315">
      <c r="J315" s="8"/>
      <c r="K315" s="8"/>
      <c r="L315" s="8"/>
      <c r="M315" s="8"/>
    </row>
    <row r="316">
      <c r="J316" s="8"/>
      <c r="K316" s="8"/>
      <c r="L316" s="8"/>
      <c r="M316" s="8"/>
    </row>
    <row r="317">
      <c r="J317" s="8"/>
      <c r="K317" s="8"/>
      <c r="L317" s="8"/>
      <c r="M317" s="8"/>
    </row>
    <row r="318">
      <c r="J318" s="8"/>
      <c r="K318" s="8"/>
      <c r="L318" s="8"/>
      <c r="M318" s="8"/>
    </row>
    <row r="319">
      <c r="J319" s="8"/>
      <c r="K319" s="8"/>
      <c r="L319" s="8"/>
      <c r="M319" s="8"/>
    </row>
    <row r="320">
      <c r="J320" s="8"/>
      <c r="K320" s="8"/>
      <c r="L320" s="8"/>
      <c r="M320" s="8"/>
    </row>
    <row r="321">
      <c r="J321" s="8"/>
      <c r="K321" s="8"/>
      <c r="L321" s="8"/>
      <c r="M321" s="8"/>
    </row>
    <row r="322">
      <c r="J322" s="8"/>
      <c r="K322" s="8"/>
      <c r="L322" s="8"/>
      <c r="M322" s="8"/>
    </row>
    <row r="323">
      <c r="J323" s="8"/>
      <c r="K323" s="8"/>
      <c r="L323" s="8"/>
      <c r="M323" s="8"/>
    </row>
    <row r="324">
      <c r="J324" s="8"/>
      <c r="K324" s="8"/>
      <c r="L324" s="8"/>
      <c r="M324" s="8"/>
    </row>
    <row r="325">
      <c r="J325" s="8"/>
      <c r="K325" s="8"/>
      <c r="L325" s="8"/>
      <c r="M325" s="8"/>
    </row>
    <row r="326">
      <c r="J326" s="8"/>
      <c r="K326" s="8"/>
      <c r="L326" s="8"/>
      <c r="M326" s="8"/>
    </row>
    <row r="327">
      <c r="J327" s="8"/>
      <c r="K327" s="8"/>
      <c r="L327" s="8"/>
      <c r="M327" s="8"/>
    </row>
    <row r="328">
      <c r="J328" s="8"/>
      <c r="K328" s="8"/>
      <c r="L328" s="8"/>
      <c r="M328" s="8"/>
    </row>
    <row r="329">
      <c r="J329" s="8"/>
      <c r="K329" s="8"/>
      <c r="L329" s="8"/>
      <c r="M329" s="8"/>
    </row>
    <row r="330">
      <c r="J330" s="8"/>
      <c r="K330" s="8"/>
      <c r="L330" s="8"/>
      <c r="M330" s="8"/>
    </row>
    <row r="331">
      <c r="J331" s="8"/>
      <c r="K331" s="8"/>
      <c r="L331" s="8"/>
      <c r="M331" s="8"/>
    </row>
    <row r="332">
      <c r="J332" s="8"/>
      <c r="K332" s="8"/>
      <c r="L332" s="8"/>
      <c r="M332" s="8"/>
    </row>
    <row r="333">
      <c r="J333" s="8"/>
      <c r="K333" s="8"/>
      <c r="L333" s="8"/>
      <c r="M333" s="8"/>
    </row>
    <row r="334">
      <c r="J334" s="8"/>
      <c r="K334" s="8"/>
      <c r="L334" s="8"/>
      <c r="M334" s="8"/>
    </row>
    <row r="335">
      <c r="J335" s="8"/>
      <c r="K335" s="8"/>
      <c r="L335" s="8"/>
      <c r="M335" s="8"/>
    </row>
    <row r="336">
      <c r="J336" s="8"/>
      <c r="K336" s="8"/>
      <c r="L336" s="8"/>
      <c r="M336" s="8"/>
    </row>
    <row r="337">
      <c r="J337" s="8"/>
      <c r="K337" s="8"/>
      <c r="L337" s="8"/>
      <c r="M337" s="8"/>
    </row>
    <row r="338">
      <c r="J338" s="8"/>
      <c r="K338" s="8"/>
      <c r="L338" s="8"/>
      <c r="M338" s="8"/>
    </row>
    <row r="339">
      <c r="J339" s="8"/>
      <c r="K339" s="8"/>
      <c r="L339" s="8"/>
      <c r="M339" s="8"/>
    </row>
    <row r="340">
      <c r="J340" s="8"/>
      <c r="K340" s="8"/>
      <c r="L340" s="8"/>
      <c r="M340" s="8"/>
    </row>
    <row r="341">
      <c r="J341" s="8"/>
      <c r="K341" s="8"/>
      <c r="L341" s="8"/>
      <c r="M341" s="8"/>
    </row>
    <row r="342">
      <c r="J342" s="8"/>
      <c r="K342" s="8"/>
      <c r="L342" s="8"/>
      <c r="M342" s="8"/>
    </row>
    <row r="343">
      <c r="J343" s="8"/>
      <c r="K343" s="8"/>
      <c r="L343" s="8"/>
      <c r="M343" s="8"/>
    </row>
    <row r="344">
      <c r="J344" s="8"/>
      <c r="K344" s="8"/>
      <c r="L344" s="8"/>
      <c r="M344" s="8"/>
    </row>
    <row r="345">
      <c r="J345" s="8"/>
      <c r="K345" s="8"/>
      <c r="L345" s="8"/>
      <c r="M345" s="8"/>
    </row>
    <row r="346">
      <c r="J346" s="8"/>
      <c r="K346" s="8"/>
      <c r="L346" s="8"/>
      <c r="M346" s="8"/>
    </row>
    <row r="347">
      <c r="J347" s="8"/>
      <c r="K347" s="8"/>
      <c r="L347" s="8"/>
      <c r="M347" s="8"/>
    </row>
    <row r="348">
      <c r="J348" s="8"/>
      <c r="K348" s="8"/>
      <c r="L348" s="8"/>
      <c r="M348" s="8"/>
    </row>
    <row r="349">
      <c r="J349" s="8"/>
      <c r="K349" s="8"/>
      <c r="L349" s="8"/>
      <c r="M349" s="8"/>
    </row>
    <row r="350">
      <c r="J350" s="8"/>
      <c r="K350" s="8"/>
      <c r="L350" s="8"/>
      <c r="M350" s="8"/>
    </row>
    <row r="351">
      <c r="J351" s="8"/>
      <c r="K351" s="8"/>
      <c r="L351" s="8"/>
      <c r="M351" s="8"/>
    </row>
    <row r="352">
      <c r="J352" s="8"/>
      <c r="K352" s="8"/>
      <c r="L352" s="8"/>
      <c r="M352" s="8"/>
    </row>
    <row r="353">
      <c r="J353" s="8"/>
      <c r="K353" s="8"/>
      <c r="L353" s="8"/>
      <c r="M353" s="8"/>
    </row>
    <row r="354">
      <c r="J354" s="8"/>
      <c r="K354" s="8"/>
      <c r="L354" s="8"/>
      <c r="M354" s="8"/>
    </row>
    <row r="355">
      <c r="J355" s="8"/>
      <c r="K355" s="8"/>
      <c r="L355" s="8"/>
      <c r="M355" s="8"/>
    </row>
    <row r="356">
      <c r="J356" s="8"/>
      <c r="K356" s="8"/>
      <c r="L356" s="8"/>
      <c r="M356" s="8"/>
    </row>
    <row r="357">
      <c r="J357" s="8"/>
      <c r="K357" s="8"/>
      <c r="L357" s="8"/>
      <c r="M357" s="8"/>
    </row>
    <row r="358">
      <c r="J358" s="8"/>
      <c r="K358" s="8"/>
      <c r="L358" s="8"/>
      <c r="M358" s="8"/>
    </row>
    <row r="359">
      <c r="J359" s="8"/>
      <c r="K359" s="8"/>
      <c r="L359" s="8"/>
      <c r="M359" s="8"/>
    </row>
    <row r="360">
      <c r="J360" s="8"/>
      <c r="K360" s="8"/>
      <c r="L360" s="8"/>
      <c r="M360" s="8"/>
    </row>
    <row r="361">
      <c r="J361" s="8"/>
      <c r="K361" s="8"/>
      <c r="L361" s="8"/>
      <c r="M361" s="8"/>
    </row>
    <row r="362">
      <c r="J362" s="8"/>
      <c r="K362" s="8"/>
      <c r="L362" s="8"/>
      <c r="M362" s="8"/>
    </row>
    <row r="363">
      <c r="J363" s="8"/>
      <c r="K363" s="8"/>
      <c r="L363" s="8"/>
      <c r="M363" s="8"/>
    </row>
    <row r="364">
      <c r="J364" s="8"/>
      <c r="K364" s="8"/>
      <c r="L364" s="8"/>
      <c r="M364" s="8"/>
    </row>
    <row r="365">
      <c r="J365" s="8"/>
      <c r="K365" s="8"/>
      <c r="L365" s="8"/>
      <c r="M365" s="8"/>
    </row>
    <row r="366">
      <c r="J366" s="8"/>
      <c r="K366" s="8"/>
      <c r="L366" s="8"/>
      <c r="M366" s="8"/>
    </row>
    <row r="367">
      <c r="J367" s="8"/>
      <c r="K367" s="8"/>
      <c r="L367" s="8"/>
      <c r="M367" s="8"/>
    </row>
    <row r="368">
      <c r="J368" s="8"/>
      <c r="K368" s="8"/>
      <c r="L368" s="8"/>
      <c r="M368" s="8"/>
    </row>
    <row r="369">
      <c r="J369" s="8"/>
      <c r="K369" s="8"/>
      <c r="L369" s="8"/>
      <c r="M369" s="8"/>
    </row>
    <row r="370">
      <c r="J370" s="8"/>
      <c r="K370" s="8"/>
      <c r="L370" s="8"/>
      <c r="M370" s="8"/>
    </row>
    <row r="371">
      <c r="J371" s="8"/>
      <c r="K371" s="8"/>
      <c r="L371" s="8"/>
      <c r="M371" s="8"/>
    </row>
    <row r="372">
      <c r="J372" s="8"/>
      <c r="K372" s="8"/>
      <c r="L372" s="8"/>
      <c r="M372" s="8"/>
    </row>
    <row r="373">
      <c r="J373" s="8"/>
      <c r="K373" s="8"/>
      <c r="L373" s="8"/>
      <c r="M373" s="8"/>
    </row>
    <row r="374">
      <c r="J374" s="8"/>
      <c r="K374" s="8"/>
      <c r="L374" s="8"/>
      <c r="M374" s="8"/>
    </row>
    <row r="375">
      <c r="J375" s="8"/>
      <c r="K375" s="8"/>
      <c r="L375" s="8"/>
      <c r="M375" s="8"/>
    </row>
    <row r="376">
      <c r="J376" s="8"/>
      <c r="K376" s="8"/>
      <c r="L376" s="8"/>
      <c r="M376" s="8"/>
    </row>
    <row r="377">
      <c r="J377" s="8"/>
      <c r="K377" s="8"/>
      <c r="L377" s="8"/>
      <c r="M377" s="8"/>
    </row>
    <row r="378">
      <c r="J378" s="8"/>
      <c r="K378" s="8"/>
      <c r="L378" s="8"/>
      <c r="M378" s="8"/>
    </row>
    <row r="379">
      <c r="J379" s="8"/>
      <c r="K379" s="8"/>
      <c r="L379" s="8"/>
      <c r="M379" s="8"/>
    </row>
    <row r="380">
      <c r="J380" s="8"/>
      <c r="K380" s="8"/>
      <c r="L380" s="8"/>
      <c r="M380" s="8"/>
    </row>
    <row r="381">
      <c r="J381" s="8"/>
      <c r="K381" s="8"/>
      <c r="L381" s="8"/>
      <c r="M381" s="8"/>
    </row>
    <row r="382">
      <c r="J382" s="8"/>
      <c r="K382" s="8"/>
      <c r="L382" s="8"/>
      <c r="M382" s="8"/>
    </row>
    <row r="383">
      <c r="J383" s="8"/>
      <c r="K383" s="8"/>
      <c r="L383" s="8"/>
      <c r="M383" s="8"/>
    </row>
    <row r="384">
      <c r="J384" s="8"/>
      <c r="K384" s="8"/>
      <c r="L384" s="8"/>
      <c r="M384" s="8"/>
    </row>
    <row r="385">
      <c r="J385" s="8"/>
      <c r="K385" s="8"/>
      <c r="L385" s="8"/>
      <c r="M385" s="8"/>
    </row>
    <row r="386">
      <c r="J386" s="8"/>
      <c r="K386" s="8"/>
      <c r="L386" s="8"/>
      <c r="M386" s="8"/>
    </row>
    <row r="387">
      <c r="J387" s="8"/>
      <c r="K387" s="8"/>
      <c r="L387" s="8"/>
      <c r="M387" s="8"/>
    </row>
    <row r="388">
      <c r="J388" s="8"/>
      <c r="K388" s="8"/>
      <c r="L388" s="8"/>
      <c r="M388" s="8"/>
    </row>
    <row r="389">
      <c r="J389" s="8"/>
      <c r="K389" s="8"/>
      <c r="L389" s="8"/>
      <c r="M389" s="8"/>
    </row>
    <row r="390">
      <c r="J390" s="8"/>
      <c r="K390" s="8"/>
      <c r="L390" s="8"/>
      <c r="M390" s="8"/>
    </row>
    <row r="391">
      <c r="J391" s="8"/>
      <c r="K391" s="8"/>
      <c r="L391" s="8"/>
      <c r="M391" s="8"/>
    </row>
    <row r="392">
      <c r="J392" s="8"/>
      <c r="K392" s="8"/>
      <c r="L392" s="8"/>
      <c r="M392" s="8"/>
    </row>
    <row r="393">
      <c r="J393" s="8"/>
      <c r="K393" s="8"/>
      <c r="L393" s="8"/>
      <c r="M393" s="8"/>
    </row>
    <row r="394">
      <c r="J394" s="8"/>
      <c r="K394" s="8"/>
      <c r="L394" s="8"/>
      <c r="M394" s="8"/>
    </row>
    <row r="395">
      <c r="J395" s="8"/>
      <c r="K395" s="8"/>
      <c r="L395" s="8"/>
      <c r="M395" s="8"/>
    </row>
    <row r="396">
      <c r="J396" s="8"/>
      <c r="K396" s="8"/>
      <c r="L396" s="8"/>
      <c r="M396" s="8"/>
    </row>
    <row r="397">
      <c r="J397" s="8"/>
      <c r="K397" s="8"/>
      <c r="L397" s="8"/>
      <c r="M397" s="8"/>
    </row>
    <row r="398">
      <c r="J398" s="8"/>
      <c r="K398" s="8"/>
      <c r="L398" s="8"/>
      <c r="M398" s="8"/>
    </row>
    <row r="399">
      <c r="J399" s="8"/>
      <c r="K399" s="8"/>
      <c r="L399" s="8"/>
      <c r="M399" s="8"/>
    </row>
    <row r="400">
      <c r="J400" s="8"/>
      <c r="K400" s="8"/>
      <c r="L400" s="8"/>
      <c r="M400" s="8"/>
    </row>
    <row r="401">
      <c r="J401" s="8"/>
      <c r="K401" s="8"/>
      <c r="L401" s="8"/>
      <c r="M401" s="8"/>
    </row>
    <row r="402">
      <c r="J402" s="8"/>
      <c r="K402" s="8"/>
      <c r="L402" s="8"/>
      <c r="M402" s="8"/>
    </row>
    <row r="403">
      <c r="J403" s="8"/>
      <c r="K403" s="8"/>
      <c r="L403" s="8"/>
      <c r="M403" s="8"/>
    </row>
    <row r="404">
      <c r="J404" s="8"/>
      <c r="K404" s="8"/>
      <c r="L404" s="8"/>
      <c r="M404" s="8"/>
    </row>
    <row r="405">
      <c r="J405" s="8"/>
      <c r="K405" s="8"/>
      <c r="L405" s="8"/>
      <c r="M405" s="8"/>
    </row>
    <row r="406">
      <c r="J406" s="8"/>
      <c r="K406" s="8"/>
      <c r="L406" s="8"/>
      <c r="M406" s="8"/>
    </row>
    <row r="407">
      <c r="J407" s="8"/>
      <c r="K407" s="8"/>
      <c r="L407" s="8"/>
      <c r="M407" s="8"/>
    </row>
    <row r="408">
      <c r="J408" s="8"/>
      <c r="K408" s="8"/>
      <c r="L408" s="8"/>
      <c r="M408" s="8"/>
    </row>
    <row r="409">
      <c r="J409" s="8"/>
      <c r="K409" s="8"/>
      <c r="L409" s="8"/>
      <c r="M409" s="8"/>
    </row>
    <row r="410">
      <c r="J410" s="8"/>
      <c r="K410" s="8"/>
      <c r="L410" s="8"/>
      <c r="M410" s="8"/>
    </row>
    <row r="411">
      <c r="J411" s="8"/>
      <c r="K411" s="8"/>
      <c r="L411" s="8"/>
      <c r="M411" s="8"/>
    </row>
    <row r="412">
      <c r="J412" s="8"/>
      <c r="K412" s="8"/>
      <c r="L412" s="8"/>
      <c r="M412" s="8"/>
    </row>
    <row r="413">
      <c r="J413" s="8"/>
      <c r="K413" s="8"/>
      <c r="L413" s="8"/>
      <c r="M413" s="8"/>
    </row>
    <row r="414">
      <c r="J414" s="8"/>
      <c r="K414" s="8"/>
      <c r="L414" s="8"/>
      <c r="M414" s="8"/>
    </row>
    <row r="415">
      <c r="J415" s="8"/>
      <c r="K415" s="8"/>
      <c r="L415" s="8"/>
      <c r="M415" s="8"/>
    </row>
    <row r="416">
      <c r="J416" s="8"/>
      <c r="K416" s="8"/>
      <c r="L416" s="8"/>
      <c r="M416" s="8"/>
    </row>
    <row r="417">
      <c r="J417" s="8"/>
      <c r="K417" s="8"/>
      <c r="L417" s="8"/>
      <c r="M417" s="8"/>
    </row>
    <row r="418">
      <c r="J418" s="8"/>
      <c r="K418" s="8"/>
      <c r="L418" s="8"/>
      <c r="M418" s="8"/>
    </row>
    <row r="419">
      <c r="J419" s="8"/>
      <c r="K419" s="8"/>
      <c r="L419" s="8"/>
      <c r="M419" s="8"/>
    </row>
    <row r="420">
      <c r="J420" s="8"/>
      <c r="K420" s="8"/>
      <c r="L420" s="8"/>
      <c r="M420" s="8"/>
    </row>
    <row r="421">
      <c r="J421" s="8"/>
      <c r="K421" s="8"/>
      <c r="L421" s="8"/>
      <c r="M421" s="8"/>
    </row>
    <row r="422">
      <c r="J422" s="8"/>
      <c r="K422" s="8"/>
      <c r="L422" s="8"/>
      <c r="M422" s="8"/>
    </row>
    <row r="423">
      <c r="J423" s="8"/>
      <c r="K423" s="8"/>
      <c r="L423" s="8"/>
      <c r="M423" s="8"/>
    </row>
    <row r="424">
      <c r="J424" s="8"/>
      <c r="K424" s="8"/>
      <c r="L424" s="8"/>
      <c r="M424" s="8"/>
    </row>
    <row r="425">
      <c r="J425" s="8"/>
      <c r="K425" s="8"/>
      <c r="L425" s="8"/>
      <c r="M425" s="8"/>
    </row>
    <row r="426">
      <c r="J426" s="8"/>
      <c r="K426" s="8"/>
      <c r="L426" s="8"/>
      <c r="M426" s="8"/>
    </row>
    <row r="427">
      <c r="J427" s="8"/>
      <c r="K427" s="8"/>
      <c r="L427" s="8"/>
      <c r="M427" s="8"/>
    </row>
    <row r="428">
      <c r="J428" s="8"/>
      <c r="K428" s="8"/>
      <c r="L428" s="8"/>
      <c r="M428" s="8"/>
    </row>
    <row r="429">
      <c r="J429" s="8"/>
      <c r="K429" s="8"/>
      <c r="L429" s="8"/>
      <c r="M429" s="8"/>
    </row>
    <row r="430">
      <c r="J430" s="8"/>
      <c r="K430" s="8"/>
      <c r="L430" s="8"/>
      <c r="M430" s="8"/>
    </row>
    <row r="431">
      <c r="J431" s="8"/>
      <c r="K431" s="8"/>
      <c r="L431" s="8"/>
      <c r="M431" s="8"/>
    </row>
    <row r="432">
      <c r="J432" s="8"/>
      <c r="K432" s="8"/>
      <c r="L432" s="8"/>
      <c r="M432" s="8"/>
    </row>
    <row r="433">
      <c r="J433" s="8"/>
      <c r="K433" s="8"/>
      <c r="L433" s="8"/>
      <c r="M433" s="8"/>
    </row>
    <row r="434">
      <c r="J434" s="8"/>
      <c r="K434" s="8"/>
      <c r="L434" s="8"/>
      <c r="M434" s="8"/>
    </row>
    <row r="435">
      <c r="J435" s="8"/>
      <c r="K435" s="8"/>
      <c r="L435" s="8"/>
      <c r="M435" s="8"/>
    </row>
    <row r="436">
      <c r="J436" s="8"/>
      <c r="K436" s="8"/>
      <c r="L436" s="8"/>
      <c r="M436" s="8"/>
    </row>
    <row r="437">
      <c r="J437" s="8"/>
      <c r="K437" s="8"/>
      <c r="L437" s="8"/>
      <c r="M437" s="8"/>
    </row>
    <row r="438">
      <c r="J438" s="8"/>
      <c r="K438" s="8"/>
      <c r="L438" s="8"/>
      <c r="M438" s="8"/>
    </row>
    <row r="439">
      <c r="J439" s="8"/>
      <c r="K439" s="8"/>
      <c r="L439" s="8"/>
      <c r="M439" s="8"/>
    </row>
    <row r="440">
      <c r="J440" s="8"/>
      <c r="K440" s="8"/>
      <c r="L440" s="8"/>
      <c r="M440" s="8"/>
    </row>
    <row r="441">
      <c r="J441" s="8"/>
      <c r="K441" s="8"/>
      <c r="L441" s="8"/>
      <c r="M441" s="8"/>
    </row>
    <row r="442">
      <c r="J442" s="8"/>
      <c r="K442" s="8"/>
      <c r="L442" s="8"/>
      <c r="M442" s="8"/>
    </row>
    <row r="443">
      <c r="J443" s="8"/>
      <c r="K443" s="8"/>
      <c r="L443" s="8"/>
      <c r="M443" s="8"/>
    </row>
    <row r="444">
      <c r="J444" s="8"/>
      <c r="K444" s="8"/>
      <c r="L444" s="8"/>
      <c r="M444" s="8"/>
    </row>
    <row r="445">
      <c r="J445" s="8"/>
      <c r="K445" s="8"/>
      <c r="L445" s="8"/>
      <c r="M445" s="8"/>
    </row>
    <row r="446">
      <c r="J446" s="8"/>
      <c r="K446" s="8"/>
      <c r="L446" s="8"/>
      <c r="M446" s="8"/>
    </row>
    <row r="447">
      <c r="J447" s="8"/>
      <c r="K447" s="8"/>
      <c r="L447" s="8"/>
      <c r="M447" s="8"/>
    </row>
    <row r="448">
      <c r="J448" s="8"/>
      <c r="K448" s="8"/>
      <c r="L448" s="8"/>
      <c r="M448" s="8"/>
    </row>
    <row r="449">
      <c r="J449" s="8"/>
      <c r="K449" s="8"/>
      <c r="L449" s="8"/>
      <c r="M449" s="8"/>
    </row>
    <row r="450">
      <c r="J450" s="8"/>
      <c r="K450" s="8"/>
      <c r="L450" s="8"/>
      <c r="M450" s="8"/>
    </row>
    <row r="451">
      <c r="J451" s="8"/>
      <c r="K451" s="8"/>
      <c r="L451" s="8"/>
      <c r="M451" s="8"/>
    </row>
    <row r="452">
      <c r="J452" s="8"/>
      <c r="K452" s="8"/>
      <c r="L452" s="8"/>
      <c r="M452" s="8"/>
    </row>
    <row r="453">
      <c r="J453" s="8"/>
      <c r="K453" s="8"/>
      <c r="L453" s="8"/>
      <c r="M453" s="8"/>
    </row>
    <row r="454">
      <c r="J454" s="8"/>
      <c r="K454" s="8"/>
      <c r="L454" s="8"/>
      <c r="M454" s="8"/>
    </row>
    <row r="455">
      <c r="J455" s="8"/>
      <c r="K455" s="8"/>
      <c r="L455" s="8"/>
      <c r="M455" s="8"/>
    </row>
    <row r="456">
      <c r="J456" s="8"/>
      <c r="K456" s="8"/>
      <c r="L456" s="8"/>
      <c r="M456" s="8"/>
    </row>
    <row r="457">
      <c r="J457" s="8"/>
      <c r="K457" s="8"/>
      <c r="L457" s="8"/>
      <c r="M457" s="8"/>
    </row>
    <row r="458">
      <c r="J458" s="8"/>
      <c r="K458" s="8"/>
      <c r="L458" s="8"/>
      <c r="M458" s="8"/>
    </row>
    <row r="459">
      <c r="J459" s="8"/>
      <c r="K459" s="8"/>
      <c r="L459" s="8"/>
      <c r="M459" s="8"/>
    </row>
    <row r="460">
      <c r="J460" s="8"/>
      <c r="K460" s="8"/>
      <c r="L460" s="8"/>
      <c r="M460" s="8"/>
    </row>
    <row r="461">
      <c r="J461" s="8"/>
      <c r="K461" s="8"/>
      <c r="L461" s="8"/>
      <c r="M461" s="8"/>
    </row>
    <row r="462">
      <c r="J462" s="8"/>
      <c r="K462" s="8"/>
      <c r="L462" s="8"/>
      <c r="M462" s="8"/>
    </row>
    <row r="463">
      <c r="J463" s="8"/>
      <c r="K463" s="8"/>
      <c r="L463" s="8"/>
      <c r="M463" s="8"/>
    </row>
    <row r="464">
      <c r="J464" s="8"/>
      <c r="K464" s="8"/>
      <c r="L464" s="8"/>
      <c r="M464" s="8"/>
    </row>
    <row r="465">
      <c r="J465" s="8"/>
      <c r="K465" s="8"/>
      <c r="L465" s="8"/>
      <c r="M465" s="8"/>
    </row>
    <row r="466">
      <c r="J466" s="8"/>
      <c r="K466" s="8"/>
      <c r="L466" s="8"/>
      <c r="M466" s="8"/>
    </row>
    <row r="467">
      <c r="J467" s="8"/>
      <c r="K467" s="8"/>
      <c r="L467" s="8"/>
      <c r="M467" s="8"/>
    </row>
    <row r="468">
      <c r="J468" s="8"/>
      <c r="K468" s="8"/>
      <c r="L468" s="8"/>
      <c r="M468" s="8"/>
    </row>
    <row r="469">
      <c r="J469" s="8"/>
      <c r="K469" s="8"/>
      <c r="L469" s="8"/>
      <c r="M469" s="8"/>
    </row>
    <row r="470">
      <c r="J470" s="8"/>
      <c r="K470" s="8"/>
      <c r="L470" s="8"/>
      <c r="M470" s="8"/>
    </row>
    <row r="471">
      <c r="J471" s="8"/>
      <c r="K471" s="8"/>
      <c r="L471" s="8"/>
      <c r="M471" s="8"/>
    </row>
    <row r="472">
      <c r="J472" s="8"/>
      <c r="K472" s="8"/>
      <c r="L472" s="8"/>
      <c r="M472" s="8"/>
    </row>
    <row r="473">
      <c r="J473" s="8"/>
      <c r="K473" s="8"/>
      <c r="L473" s="8"/>
      <c r="M473" s="8"/>
    </row>
    <row r="474">
      <c r="J474" s="8"/>
      <c r="K474" s="8"/>
      <c r="L474" s="8"/>
      <c r="M474" s="8"/>
    </row>
    <row r="475">
      <c r="J475" s="8"/>
      <c r="K475" s="8"/>
      <c r="L475" s="8"/>
      <c r="M475" s="8"/>
    </row>
    <row r="476">
      <c r="J476" s="8"/>
      <c r="K476" s="8"/>
      <c r="L476" s="8"/>
      <c r="M476" s="8"/>
    </row>
    <row r="477">
      <c r="J477" s="8"/>
      <c r="K477" s="8"/>
      <c r="L477" s="8"/>
      <c r="M477" s="8"/>
    </row>
    <row r="478">
      <c r="J478" s="8"/>
      <c r="K478" s="8"/>
      <c r="L478" s="8"/>
      <c r="M478" s="8"/>
    </row>
    <row r="479">
      <c r="J479" s="8"/>
      <c r="K479" s="8"/>
      <c r="L479" s="8"/>
      <c r="M479" s="8"/>
    </row>
    <row r="480">
      <c r="J480" s="8"/>
      <c r="K480" s="8"/>
      <c r="L480" s="8"/>
      <c r="M480" s="8"/>
    </row>
    <row r="481">
      <c r="J481" s="8"/>
      <c r="K481" s="8"/>
      <c r="L481" s="8"/>
      <c r="M481" s="8"/>
    </row>
    <row r="482">
      <c r="J482" s="8"/>
      <c r="K482" s="8"/>
      <c r="L482" s="8"/>
      <c r="M482" s="8"/>
    </row>
    <row r="483">
      <c r="J483" s="8"/>
      <c r="K483" s="8"/>
      <c r="L483" s="8"/>
      <c r="M483" s="8"/>
    </row>
    <row r="484">
      <c r="J484" s="8"/>
      <c r="K484" s="8"/>
      <c r="L484" s="8"/>
      <c r="M484" s="8"/>
    </row>
    <row r="485">
      <c r="J485" s="8"/>
      <c r="K485" s="8"/>
      <c r="L485" s="8"/>
      <c r="M485" s="8"/>
    </row>
    <row r="486">
      <c r="J486" s="8"/>
      <c r="K486" s="8"/>
      <c r="L486" s="8"/>
      <c r="M486" s="8"/>
    </row>
    <row r="487">
      <c r="J487" s="8"/>
      <c r="K487" s="8"/>
      <c r="L487" s="8"/>
      <c r="M487" s="8"/>
    </row>
    <row r="488">
      <c r="J488" s="8"/>
      <c r="K488" s="8"/>
      <c r="L488" s="8"/>
      <c r="M488" s="8"/>
    </row>
    <row r="489">
      <c r="J489" s="8"/>
      <c r="K489" s="8"/>
      <c r="L489" s="8"/>
      <c r="M489" s="8"/>
    </row>
    <row r="490">
      <c r="J490" s="8"/>
      <c r="K490" s="8"/>
      <c r="L490" s="8"/>
      <c r="M490" s="8"/>
    </row>
    <row r="491">
      <c r="J491" s="8"/>
      <c r="K491" s="8"/>
      <c r="L491" s="8"/>
      <c r="M491" s="8"/>
    </row>
    <row r="492">
      <c r="J492" s="8"/>
      <c r="K492" s="8"/>
      <c r="L492" s="8"/>
      <c r="M492" s="8"/>
    </row>
    <row r="493">
      <c r="J493" s="8"/>
      <c r="K493" s="8"/>
      <c r="L493" s="8"/>
      <c r="M493" s="8"/>
    </row>
    <row r="494">
      <c r="J494" s="8"/>
      <c r="K494" s="8"/>
      <c r="L494" s="8"/>
      <c r="M494" s="8"/>
    </row>
    <row r="495">
      <c r="J495" s="8"/>
      <c r="K495" s="8"/>
      <c r="L495" s="8"/>
      <c r="M495" s="8"/>
    </row>
    <row r="496">
      <c r="J496" s="8"/>
      <c r="K496" s="8"/>
      <c r="L496" s="8"/>
      <c r="M496" s="8"/>
    </row>
    <row r="497">
      <c r="J497" s="8"/>
      <c r="K497" s="8"/>
      <c r="L497" s="8"/>
      <c r="M497" s="8"/>
    </row>
    <row r="498">
      <c r="J498" s="8"/>
      <c r="K498" s="8"/>
      <c r="L498" s="8"/>
      <c r="M498" s="8"/>
    </row>
    <row r="499">
      <c r="J499" s="8"/>
      <c r="K499" s="8"/>
      <c r="L499" s="8"/>
      <c r="M499" s="8"/>
    </row>
    <row r="500">
      <c r="J500" s="8"/>
      <c r="K500" s="8"/>
      <c r="L500" s="8"/>
      <c r="M500" s="8"/>
    </row>
    <row r="501">
      <c r="J501" s="8"/>
      <c r="K501" s="8"/>
      <c r="L501" s="8"/>
      <c r="M501" s="8"/>
    </row>
    <row r="502">
      <c r="J502" s="8"/>
      <c r="K502" s="8"/>
      <c r="L502" s="8"/>
      <c r="M502" s="8"/>
    </row>
    <row r="503">
      <c r="J503" s="8"/>
      <c r="K503" s="8"/>
      <c r="L503" s="8"/>
      <c r="M503" s="8"/>
    </row>
    <row r="504">
      <c r="J504" s="8"/>
      <c r="K504" s="8"/>
      <c r="L504" s="8"/>
      <c r="M504" s="8"/>
    </row>
    <row r="505">
      <c r="J505" s="8"/>
      <c r="K505" s="8"/>
      <c r="L505" s="8"/>
      <c r="M505" s="8"/>
    </row>
    <row r="506">
      <c r="J506" s="8"/>
      <c r="K506" s="8"/>
      <c r="L506" s="8"/>
      <c r="M506" s="8"/>
    </row>
    <row r="507">
      <c r="J507" s="8"/>
      <c r="K507" s="8"/>
      <c r="L507" s="8"/>
      <c r="M507" s="8"/>
    </row>
    <row r="508">
      <c r="J508" s="8"/>
      <c r="K508" s="8"/>
      <c r="L508" s="8"/>
      <c r="M508" s="8"/>
    </row>
    <row r="509">
      <c r="J509" s="8"/>
      <c r="K509" s="8"/>
      <c r="L509" s="8"/>
      <c r="M509" s="8"/>
    </row>
    <row r="510">
      <c r="J510" s="8"/>
      <c r="K510" s="8"/>
      <c r="L510" s="8"/>
      <c r="M510" s="8"/>
    </row>
    <row r="511">
      <c r="J511" s="8"/>
      <c r="K511" s="8"/>
      <c r="L511" s="8"/>
      <c r="M511" s="8"/>
    </row>
    <row r="512">
      <c r="J512" s="8"/>
      <c r="K512" s="8"/>
      <c r="L512" s="8"/>
      <c r="M512" s="8"/>
    </row>
    <row r="513">
      <c r="J513" s="8"/>
      <c r="K513" s="8"/>
      <c r="L513" s="8"/>
      <c r="M513" s="8"/>
    </row>
    <row r="514">
      <c r="J514" s="8"/>
      <c r="K514" s="8"/>
      <c r="L514" s="8"/>
      <c r="M514" s="8"/>
    </row>
    <row r="515">
      <c r="J515" s="8"/>
      <c r="K515" s="8"/>
      <c r="L515" s="8"/>
      <c r="M515" s="8"/>
    </row>
    <row r="516">
      <c r="J516" s="8"/>
      <c r="K516" s="8"/>
      <c r="L516" s="8"/>
      <c r="M516" s="8"/>
    </row>
    <row r="517">
      <c r="J517" s="8"/>
      <c r="K517" s="8"/>
      <c r="L517" s="8"/>
      <c r="M517" s="8"/>
    </row>
    <row r="518">
      <c r="J518" s="8"/>
      <c r="K518" s="8"/>
      <c r="L518" s="8"/>
      <c r="M518" s="8"/>
    </row>
    <row r="519">
      <c r="J519" s="8"/>
      <c r="K519" s="8"/>
      <c r="L519" s="8"/>
      <c r="M519" s="8"/>
    </row>
    <row r="520">
      <c r="J520" s="8"/>
      <c r="K520" s="8"/>
      <c r="L520" s="8"/>
      <c r="M520" s="8"/>
    </row>
    <row r="521">
      <c r="J521" s="8"/>
      <c r="K521" s="8"/>
      <c r="L521" s="8"/>
      <c r="M521" s="8"/>
    </row>
    <row r="522">
      <c r="J522" s="8"/>
      <c r="K522" s="8"/>
      <c r="L522" s="8"/>
      <c r="M522" s="8"/>
    </row>
    <row r="523">
      <c r="J523" s="8"/>
      <c r="K523" s="8"/>
      <c r="L523" s="8"/>
      <c r="M523" s="8"/>
    </row>
    <row r="524">
      <c r="J524" s="8"/>
      <c r="K524" s="8"/>
      <c r="L524" s="8"/>
      <c r="M524" s="8"/>
    </row>
    <row r="525">
      <c r="J525" s="8"/>
      <c r="K525" s="8"/>
      <c r="L525" s="8"/>
      <c r="M525" s="8"/>
    </row>
    <row r="526">
      <c r="J526" s="8"/>
      <c r="K526" s="8"/>
      <c r="L526" s="8"/>
      <c r="M526" s="8"/>
    </row>
    <row r="527">
      <c r="J527" s="8"/>
      <c r="K527" s="8"/>
      <c r="L527" s="8"/>
      <c r="M527" s="8"/>
    </row>
    <row r="528">
      <c r="J528" s="8"/>
      <c r="K528" s="8"/>
      <c r="L528" s="8"/>
      <c r="M528" s="8"/>
    </row>
    <row r="529">
      <c r="J529" s="8"/>
      <c r="K529" s="8"/>
      <c r="L529" s="8"/>
      <c r="M529" s="8"/>
    </row>
    <row r="530">
      <c r="J530" s="8"/>
      <c r="K530" s="8"/>
      <c r="L530" s="8"/>
      <c r="M530" s="8"/>
    </row>
    <row r="531">
      <c r="J531" s="8"/>
      <c r="K531" s="8"/>
      <c r="L531" s="8"/>
      <c r="M531" s="8"/>
    </row>
    <row r="532">
      <c r="J532" s="8"/>
      <c r="K532" s="8"/>
      <c r="L532" s="8"/>
      <c r="M532" s="8"/>
    </row>
    <row r="533">
      <c r="J533" s="8"/>
      <c r="K533" s="8"/>
      <c r="L533" s="8"/>
      <c r="M533" s="8"/>
    </row>
    <row r="534">
      <c r="J534" s="8"/>
      <c r="K534" s="8"/>
      <c r="L534" s="8"/>
      <c r="M534" s="8"/>
    </row>
    <row r="535">
      <c r="J535" s="8"/>
      <c r="K535" s="8"/>
      <c r="L535" s="8"/>
      <c r="M535" s="8"/>
    </row>
    <row r="536">
      <c r="J536" s="8"/>
      <c r="K536" s="8"/>
      <c r="L536" s="8"/>
      <c r="M536" s="8"/>
    </row>
    <row r="537">
      <c r="J537" s="8"/>
      <c r="K537" s="8"/>
      <c r="L537" s="8"/>
      <c r="M537" s="8"/>
    </row>
    <row r="538">
      <c r="J538" s="8"/>
      <c r="K538" s="8"/>
      <c r="L538" s="8"/>
      <c r="M538" s="8"/>
    </row>
    <row r="539">
      <c r="J539" s="8"/>
      <c r="K539" s="8"/>
      <c r="L539" s="8"/>
      <c r="M539" s="8"/>
    </row>
    <row r="540">
      <c r="J540" s="8"/>
      <c r="K540" s="8"/>
      <c r="L540" s="8"/>
      <c r="M540" s="8"/>
    </row>
    <row r="541">
      <c r="J541" s="8"/>
      <c r="K541" s="8"/>
      <c r="L541" s="8"/>
      <c r="M541" s="8"/>
    </row>
    <row r="542">
      <c r="J542" s="8"/>
      <c r="K542" s="8"/>
      <c r="L542" s="8"/>
      <c r="M542" s="8"/>
    </row>
    <row r="543">
      <c r="J543" s="8"/>
      <c r="K543" s="8"/>
      <c r="L543" s="8"/>
      <c r="M543" s="8"/>
    </row>
    <row r="544">
      <c r="J544" s="8"/>
      <c r="K544" s="8"/>
      <c r="L544" s="8"/>
      <c r="M544" s="8"/>
    </row>
    <row r="545">
      <c r="J545" s="8"/>
      <c r="K545" s="8"/>
      <c r="L545" s="8"/>
      <c r="M545" s="8"/>
    </row>
    <row r="546">
      <c r="J546" s="8"/>
      <c r="K546" s="8"/>
      <c r="L546" s="8"/>
      <c r="M546" s="8"/>
    </row>
    <row r="547">
      <c r="J547" s="8"/>
      <c r="K547" s="8"/>
      <c r="L547" s="8"/>
      <c r="M547" s="8"/>
    </row>
    <row r="548">
      <c r="J548" s="8"/>
      <c r="K548" s="8"/>
      <c r="L548" s="8"/>
      <c r="M548" s="8"/>
    </row>
    <row r="549">
      <c r="J549" s="8"/>
      <c r="K549" s="8"/>
      <c r="L549" s="8"/>
      <c r="M549" s="8"/>
    </row>
    <row r="550">
      <c r="J550" s="8"/>
      <c r="K550" s="8"/>
      <c r="L550" s="8"/>
      <c r="M550" s="8"/>
    </row>
    <row r="551">
      <c r="J551" s="8"/>
      <c r="K551" s="8"/>
      <c r="L551" s="8"/>
      <c r="M551" s="8"/>
    </row>
    <row r="552">
      <c r="J552" s="8"/>
      <c r="K552" s="8"/>
      <c r="L552" s="8"/>
      <c r="M552" s="8"/>
    </row>
    <row r="553">
      <c r="J553" s="8"/>
      <c r="K553" s="8"/>
      <c r="L553" s="8"/>
      <c r="M553" s="8"/>
    </row>
    <row r="554">
      <c r="J554" s="8"/>
      <c r="K554" s="8"/>
      <c r="L554" s="8"/>
      <c r="M554" s="8"/>
    </row>
    <row r="555">
      <c r="J555" s="8"/>
      <c r="K555" s="8"/>
      <c r="L555" s="8"/>
      <c r="M555" s="8"/>
    </row>
    <row r="556">
      <c r="J556" s="8"/>
      <c r="K556" s="8"/>
      <c r="L556" s="8"/>
      <c r="M556" s="8"/>
    </row>
    <row r="557">
      <c r="J557" s="8"/>
      <c r="K557" s="8"/>
      <c r="L557" s="8"/>
      <c r="M557" s="8"/>
    </row>
    <row r="558">
      <c r="J558" s="8"/>
      <c r="K558" s="8"/>
      <c r="L558" s="8"/>
      <c r="M558" s="8"/>
    </row>
    <row r="559">
      <c r="J559" s="8"/>
      <c r="K559" s="8"/>
      <c r="L559" s="8"/>
      <c r="M559" s="8"/>
    </row>
    <row r="560">
      <c r="J560" s="8"/>
      <c r="K560" s="8"/>
      <c r="L560" s="8"/>
      <c r="M560" s="8"/>
    </row>
    <row r="561">
      <c r="J561" s="8"/>
      <c r="K561" s="8"/>
      <c r="L561" s="8"/>
      <c r="M561" s="8"/>
    </row>
    <row r="562">
      <c r="J562" s="8"/>
      <c r="K562" s="8"/>
      <c r="L562" s="8"/>
      <c r="M562" s="8"/>
    </row>
    <row r="563">
      <c r="J563" s="8"/>
      <c r="K563" s="8"/>
      <c r="L563" s="8"/>
      <c r="M563" s="8"/>
    </row>
    <row r="564">
      <c r="J564" s="8"/>
      <c r="K564" s="8"/>
      <c r="L564" s="8"/>
      <c r="M564" s="8"/>
    </row>
    <row r="565">
      <c r="J565" s="8"/>
      <c r="K565" s="8"/>
      <c r="L565" s="8"/>
      <c r="M565" s="8"/>
    </row>
    <row r="566">
      <c r="J566" s="8"/>
      <c r="K566" s="8"/>
      <c r="L566" s="8"/>
      <c r="M566" s="8"/>
    </row>
    <row r="567">
      <c r="J567" s="8"/>
      <c r="K567" s="8"/>
      <c r="L567" s="8"/>
      <c r="M567" s="8"/>
    </row>
    <row r="568">
      <c r="J568" s="8"/>
      <c r="K568" s="8"/>
      <c r="L568" s="8"/>
      <c r="M568" s="8"/>
    </row>
    <row r="569">
      <c r="J569" s="8"/>
      <c r="K569" s="8"/>
      <c r="L569" s="8"/>
      <c r="M569" s="8"/>
    </row>
    <row r="570">
      <c r="J570" s="8"/>
      <c r="K570" s="8"/>
      <c r="L570" s="8"/>
      <c r="M570" s="8"/>
    </row>
    <row r="571">
      <c r="J571" s="8"/>
      <c r="K571" s="8"/>
      <c r="L571" s="8"/>
      <c r="M571" s="8"/>
    </row>
    <row r="572">
      <c r="J572" s="8"/>
      <c r="K572" s="8"/>
      <c r="L572" s="8"/>
      <c r="M572" s="8"/>
    </row>
    <row r="573">
      <c r="J573" s="8"/>
      <c r="K573" s="8"/>
      <c r="L573" s="8"/>
      <c r="M573" s="8"/>
    </row>
    <row r="574">
      <c r="J574" s="8"/>
      <c r="K574" s="8"/>
      <c r="L574" s="8"/>
      <c r="M574" s="8"/>
    </row>
    <row r="575">
      <c r="J575" s="8"/>
      <c r="K575" s="8"/>
      <c r="L575" s="8"/>
      <c r="M575" s="8"/>
    </row>
    <row r="576">
      <c r="J576" s="8"/>
      <c r="K576" s="8"/>
      <c r="L576" s="8"/>
      <c r="M576" s="8"/>
    </row>
    <row r="577">
      <c r="J577" s="8"/>
      <c r="K577" s="8"/>
      <c r="L577" s="8"/>
      <c r="M577" s="8"/>
    </row>
    <row r="578">
      <c r="J578" s="8"/>
      <c r="K578" s="8"/>
      <c r="L578" s="8"/>
      <c r="M578" s="8"/>
    </row>
    <row r="579">
      <c r="J579" s="8"/>
      <c r="K579" s="8"/>
      <c r="L579" s="8"/>
      <c r="M579" s="8"/>
    </row>
    <row r="580">
      <c r="J580" s="8"/>
      <c r="K580" s="8"/>
      <c r="L580" s="8"/>
      <c r="M580" s="8"/>
    </row>
    <row r="581">
      <c r="J581" s="8"/>
      <c r="K581" s="8"/>
      <c r="L581" s="8"/>
      <c r="M581" s="8"/>
    </row>
    <row r="582">
      <c r="J582" s="8"/>
      <c r="K582" s="8"/>
      <c r="L582" s="8"/>
      <c r="M582" s="8"/>
    </row>
    <row r="583">
      <c r="J583" s="8"/>
      <c r="K583" s="8"/>
      <c r="L583" s="8"/>
      <c r="M583" s="8"/>
    </row>
    <row r="584">
      <c r="J584" s="8"/>
      <c r="K584" s="8"/>
      <c r="L584" s="8"/>
      <c r="M584" s="8"/>
    </row>
    <row r="585">
      <c r="J585" s="8"/>
      <c r="K585" s="8"/>
      <c r="L585" s="8"/>
      <c r="M585" s="8"/>
    </row>
    <row r="586">
      <c r="J586" s="8"/>
      <c r="K586" s="8"/>
      <c r="L586" s="8"/>
      <c r="M586" s="8"/>
    </row>
    <row r="587">
      <c r="J587" s="8"/>
      <c r="K587" s="8"/>
      <c r="L587" s="8"/>
      <c r="M587" s="8"/>
    </row>
    <row r="588">
      <c r="J588" s="8"/>
      <c r="K588" s="8"/>
      <c r="L588" s="8"/>
      <c r="M588" s="8"/>
    </row>
    <row r="589">
      <c r="J589" s="8"/>
      <c r="K589" s="8"/>
      <c r="L589" s="8"/>
      <c r="M589" s="8"/>
    </row>
    <row r="590">
      <c r="J590" s="8"/>
      <c r="K590" s="8"/>
      <c r="L590" s="8"/>
      <c r="M590" s="8"/>
    </row>
    <row r="591">
      <c r="J591" s="8"/>
      <c r="K591" s="8"/>
      <c r="L591" s="8"/>
      <c r="M591" s="8"/>
    </row>
    <row r="592">
      <c r="J592" s="8"/>
      <c r="K592" s="8"/>
      <c r="L592" s="8"/>
      <c r="M592" s="8"/>
    </row>
    <row r="593">
      <c r="J593" s="8"/>
      <c r="K593" s="8"/>
      <c r="L593" s="8"/>
      <c r="M593" s="8"/>
    </row>
    <row r="594">
      <c r="J594" s="8"/>
      <c r="K594" s="8"/>
      <c r="L594" s="8"/>
      <c r="M594" s="8"/>
    </row>
    <row r="595">
      <c r="J595" s="8"/>
      <c r="K595" s="8"/>
      <c r="L595" s="8"/>
      <c r="M595" s="8"/>
    </row>
    <row r="596">
      <c r="J596" s="8"/>
      <c r="K596" s="8"/>
      <c r="L596" s="8"/>
      <c r="M596" s="8"/>
    </row>
    <row r="597">
      <c r="J597" s="8"/>
      <c r="K597" s="8"/>
      <c r="L597" s="8"/>
      <c r="M597" s="8"/>
    </row>
    <row r="598">
      <c r="J598" s="8"/>
      <c r="K598" s="8"/>
      <c r="L598" s="8"/>
      <c r="M598" s="8"/>
    </row>
    <row r="599">
      <c r="J599" s="8"/>
      <c r="K599" s="8"/>
      <c r="L599" s="8"/>
      <c r="M599" s="8"/>
    </row>
    <row r="600">
      <c r="J600" s="8"/>
      <c r="K600" s="8"/>
      <c r="L600" s="8"/>
      <c r="M600" s="8"/>
    </row>
    <row r="601">
      <c r="J601" s="8"/>
      <c r="K601" s="8"/>
      <c r="L601" s="8"/>
      <c r="M601" s="8"/>
    </row>
    <row r="602">
      <c r="J602" s="8"/>
      <c r="K602" s="8"/>
      <c r="L602" s="8"/>
      <c r="M602" s="8"/>
    </row>
    <row r="603">
      <c r="J603" s="8"/>
      <c r="K603" s="8"/>
      <c r="L603" s="8"/>
      <c r="M603" s="8"/>
    </row>
    <row r="604">
      <c r="J604" s="8"/>
      <c r="K604" s="8"/>
      <c r="L604" s="8"/>
      <c r="M604" s="8"/>
    </row>
    <row r="605">
      <c r="J605" s="8"/>
      <c r="K605" s="8"/>
      <c r="L605" s="8"/>
      <c r="M605" s="8"/>
    </row>
    <row r="606">
      <c r="J606" s="8"/>
      <c r="K606" s="8"/>
      <c r="L606" s="8"/>
      <c r="M606" s="8"/>
    </row>
    <row r="607">
      <c r="J607" s="8"/>
      <c r="K607" s="8"/>
      <c r="L607" s="8"/>
      <c r="M607" s="8"/>
    </row>
    <row r="608">
      <c r="J608" s="8"/>
      <c r="K608" s="8"/>
      <c r="L608" s="8"/>
      <c r="M608" s="8"/>
    </row>
    <row r="609">
      <c r="J609" s="8"/>
      <c r="K609" s="8"/>
      <c r="L609" s="8"/>
      <c r="M609" s="8"/>
    </row>
    <row r="610">
      <c r="J610" s="8"/>
      <c r="K610" s="8"/>
      <c r="L610" s="8"/>
      <c r="M610" s="8"/>
    </row>
    <row r="611">
      <c r="J611" s="8"/>
      <c r="K611" s="8"/>
      <c r="L611" s="8"/>
      <c r="M611" s="8"/>
    </row>
    <row r="612">
      <c r="J612" s="8"/>
      <c r="K612" s="8"/>
      <c r="L612" s="8"/>
      <c r="M612" s="8"/>
    </row>
    <row r="613">
      <c r="J613" s="8"/>
      <c r="K613" s="8"/>
      <c r="L613" s="8"/>
      <c r="M613" s="8"/>
    </row>
    <row r="614">
      <c r="J614" s="8"/>
      <c r="K614" s="8"/>
      <c r="L614" s="8"/>
      <c r="M614" s="8"/>
    </row>
    <row r="615">
      <c r="J615" s="8"/>
      <c r="K615" s="8"/>
      <c r="L615" s="8"/>
      <c r="M615" s="8"/>
    </row>
    <row r="616">
      <c r="J616" s="8"/>
      <c r="K616" s="8"/>
      <c r="L616" s="8"/>
      <c r="M616" s="8"/>
    </row>
    <row r="617">
      <c r="J617" s="8"/>
      <c r="K617" s="8"/>
      <c r="L617" s="8"/>
      <c r="M617" s="8"/>
    </row>
    <row r="618">
      <c r="J618" s="8"/>
      <c r="K618" s="8"/>
      <c r="L618" s="8"/>
      <c r="M618" s="8"/>
    </row>
    <row r="619">
      <c r="J619" s="8"/>
      <c r="K619" s="8"/>
      <c r="L619" s="8"/>
      <c r="M619" s="8"/>
    </row>
    <row r="620">
      <c r="J620" s="8"/>
      <c r="K620" s="8"/>
      <c r="L620" s="8"/>
      <c r="M620" s="8"/>
    </row>
    <row r="621">
      <c r="J621" s="8"/>
      <c r="K621" s="8"/>
      <c r="L621" s="8"/>
      <c r="M621" s="8"/>
    </row>
    <row r="622">
      <c r="J622" s="8"/>
      <c r="K622" s="8"/>
      <c r="L622" s="8"/>
      <c r="M622" s="8"/>
    </row>
    <row r="623">
      <c r="J623" s="8"/>
      <c r="K623" s="8"/>
      <c r="L623" s="8"/>
      <c r="M623" s="8"/>
    </row>
    <row r="624">
      <c r="J624" s="8"/>
      <c r="K624" s="8"/>
      <c r="L624" s="8"/>
      <c r="M624" s="8"/>
    </row>
    <row r="625">
      <c r="J625" s="8"/>
      <c r="K625" s="8"/>
      <c r="L625" s="8"/>
      <c r="M625" s="8"/>
    </row>
    <row r="626">
      <c r="J626" s="8"/>
      <c r="K626" s="8"/>
      <c r="L626" s="8"/>
      <c r="M626" s="8"/>
    </row>
    <row r="627">
      <c r="J627" s="8"/>
      <c r="K627" s="8"/>
      <c r="L627" s="8"/>
      <c r="M627" s="8"/>
    </row>
    <row r="628">
      <c r="J628" s="8"/>
      <c r="K628" s="8"/>
      <c r="L628" s="8"/>
      <c r="M628" s="8"/>
    </row>
    <row r="629">
      <c r="J629" s="8"/>
      <c r="K629" s="8"/>
      <c r="L629" s="8"/>
      <c r="M629" s="8"/>
    </row>
    <row r="630">
      <c r="J630" s="8"/>
      <c r="K630" s="8"/>
      <c r="L630" s="8"/>
      <c r="M630" s="8"/>
    </row>
    <row r="631">
      <c r="J631" s="8"/>
      <c r="K631" s="8"/>
      <c r="L631" s="8"/>
      <c r="M631" s="8"/>
    </row>
    <row r="632">
      <c r="J632" s="8"/>
      <c r="K632" s="8"/>
      <c r="L632" s="8"/>
      <c r="M632" s="8"/>
    </row>
    <row r="633">
      <c r="J633" s="8"/>
      <c r="K633" s="8"/>
      <c r="L633" s="8"/>
      <c r="M633" s="8"/>
    </row>
    <row r="634">
      <c r="J634" s="8"/>
      <c r="K634" s="8"/>
      <c r="L634" s="8"/>
      <c r="M634" s="8"/>
    </row>
    <row r="635">
      <c r="J635" s="8"/>
      <c r="K635" s="8"/>
      <c r="L635" s="8"/>
      <c r="M635" s="8"/>
    </row>
    <row r="636">
      <c r="J636" s="8"/>
      <c r="K636" s="8"/>
      <c r="L636" s="8"/>
      <c r="M636" s="8"/>
    </row>
    <row r="637">
      <c r="J637" s="8"/>
      <c r="K637" s="8"/>
      <c r="L637" s="8"/>
      <c r="M637" s="8"/>
    </row>
    <row r="638">
      <c r="J638" s="8"/>
      <c r="K638" s="8"/>
      <c r="L638" s="8"/>
      <c r="M638" s="8"/>
    </row>
    <row r="639">
      <c r="J639" s="8"/>
      <c r="K639" s="8"/>
      <c r="L639" s="8"/>
      <c r="M639" s="8"/>
    </row>
    <row r="640">
      <c r="J640" s="8"/>
      <c r="K640" s="8"/>
      <c r="L640" s="8"/>
      <c r="M640" s="8"/>
    </row>
    <row r="641">
      <c r="J641" s="8"/>
      <c r="K641" s="8"/>
      <c r="L641" s="8"/>
      <c r="M641" s="8"/>
    </row>
    <row r="642">
      <c r="J642" s="8"/>
      <c r="K642" s="8"/>
      <c r="L642" s="8"/>
      <c r="M642" s="8"/>
    </row>
    <row r="643">
      <c r="J643" s="8"/>
      <c r="K643" s="8"/>
      <c r="L643" s="8"/>
      <c r="M643" s="8"/>
    </row>
    <row r="644">
      <c r="J644" s="8"/>
      <c r="K644" s="8"/>
      <c r="L644" s="8"/>
      <c r="M644" s="8"/>
    </row>
    <row r="645">
      <c r="J645" s="8"/>
      <c r="K645" s="8"/>
      <c r="L645" s="8"/>
      <c r="M645" s="8"/>
    </row>
    <row r="646">
      <c r="J646" s="8"/>
      <c r="K646" s="8"/>
      <c r="L646" s="8"/>
      <c r="M646" s="8"/>
    </row>
    <row r="647">
      <c r="J647" s="8"/>
      <c r="K647" s="8"/>
      <c r="L647" s="8"/>
      <c r="M647" s="8"/>
    </row>
    <row r="648">
      <c r="J648" s="8"/>
      <c r="K648" s="8"/>
      <c r="L648" s="8"/>
      <c r="M648" s="8"/>
    </row>
    <row r="649">
      <c r="J649" s="8"/>
      <c r="K649" s="8"/>
      <c r="L649" s="8"/>
      <c r="M649" s="8"/>
    </row>
    <row r="650">
      <c r="J650" s="8"/>
      <c r="K650" s="8"/>
      <c r="L650" s="8"/>
      <c r="M650" s="8"/>
    </row>
    <row r="651">
      <c r="J651" s="8"/>
      <c r="K651" s="8"/>
      <c r="L651" s="8"/>
      <c r="M651" s="8"/>
    </row>
    <row r="652">
      <c r="J652" s="8"/>
      <c r="K652" s="8"/>
      <c r="L652" s="8"/>
      <c r="M652" s="8"/>
    </row>
    <row r="653">
      <c r="J653" s="8"/>
      <c r="K653" s="8"/>
      <c r="L653" s="8"/>
      <c r="M653" s="8"/>
    </row>
    <row r="654">
      <c r="J654" s="8"/>
      <c r="K654" s="8"/>
      <c r="L654" s="8"/>
      <c r="M654" s="8"/>
    </row>
    <row r="655">
      <c r="J655" s="8"/>
      <c r="K655" s="8"/>
      <c r="L655" s="8"/>
      <c r="M655" s="8"/>
    </row>
    <row r="656">
      <c r="J656" s="8"/>
      <c r="K656" s="8"/>
      <c r="L656" s="8"/>
      <c r="M656" s="8"/>
    </row>
    <row r="657">
      <c r="J657" s="8"/>
      <c r="K657" s="8"/>
      <c r="L657" s="8"/>
      <c r="M657" s="8"/>
    </row>
    <row r="658">
      <c r="J658" s="8"/>
      <c r="K658" s="8"/>
      <c r="L658" s="8"/>
      <c r="M658" s="8"/>
    </row>
    <row r="659">
      <c r="J659" s="8"/>
      <c r="K659" s="8"/>
      <c r="L659" s="8"/>
      <c r="M659" s="8"/>
    </row>
    <row r="660">
      <c r="J660" s="8"/>
      <c r="K660" s="8"/>
      <c r="L660" s="8"/>
      <c r="M660" s="8"/>
    </row>
    <row r="661">
      <c r="J661" s="8"/>
      <c r="K661" s="8"/>
      <c r="L661" s="8"/>
      <c r="M661" s="8"/>
    </row>
    <row r="662">
      <c r="J662" s="8"/>
      <c r="K662" s="8"/>
      <c r="L662" s="8"/>
      <c r="M662" s="8"/>
    </row>
    <row r="663">
      <c r="J663" s="8"/>
      <c r="K663" s="8"/>
      <c r="L663" s="8"/>
      <c r="M663" s="8"/>
    </row>
    <row r="664">
      <c r="J664" s="8"/>
      <c r="K664" s="8"/>
      <c r="L664" s="8"/>
      <c r="M664" s="8"/>
    </row>
    <row r="665">
      <c r="J665" s="8"/>
      <c r="K665" s="8"/>
      <c r="L665" s="8"/>
      <c r="M665" s="8"/>
    </row>
    <row r="666">
      <c r="J666" s="8"/>
      <c r="K666" s="8"/>
      <c r="L666" s="8"/>
      <c r="M666" s="8"/>
    </row>
    <row r="667">
      <c r="J667" s="8"/>
      <c r="K667" s="8"/>
      <c r="L667" s="8"/>
      <c r="M667" s="8"/>
    </row>
    <row r="668">
      <c r="J668" s="8"/>
      <c r="K668" s="8"/>
      <c r="L668" s="8"/>
      <c r="M668" s="8"/>
    </row>
    <row r="669">
      <c r="J669" s="8"/>
      <c r="K669" s="8"/>
      <c r="L669" s="8"/>
      <c r="M669" s="8"/>
    </row>
    <row r="670">
      <c r="J670" s="8"/>
      <c r="K670" s="8"/>
      <c r="L670" s="8"/>
      <c r="M670" s="8"/>
    </row>
    <row r="671">
      <c r="J671" s="8"/>
      <c r="K671" s="8"/>
      <c r="L671" s="8"/>
      <c r="M671" s="8"/>
    </row>
    <row r="672">
      <c r="J672" s="8"/>
      <c r="K672" s="8"/>
      <c r="L672" s="8"/>
      <c r="M672" s="8"/>
    </row>
    <row r="673">
      <c r="J673" s="8"/>
      <c r="K673" s="8"/>
      <c r="L673" s="8"/>
      <c r="M673" s="8"/>
    </row>
    <row r="674">
      <c r="J674" s="8"/>
      <c r="K674" s="8"/>
      <c r="L674" s="8"/>
      <c r="M674" s="8"/>
    </row>
    <row r="675">
      <c r="J675" s="8"/>
      <c r="K675" s="8"/>
      <c r="L675" s="8"/>
      <c r="M675" s="8"/>
    </row>
    <row r="676">
      <c r="J676" s="8"/>
      <c r="K676" s="8"/>
      <c r="L676" s="8"/>
      <c r="M676" s="8"/>
    </row>
    <row r="677">
      <c r="J677" s="8"/>
      <c r="K677" s="8"/>
      <c r="L677" s="8"/>
      <c r="M677" s="8"/>
    </row>
    <row r="678">
      <c r="J678" s="8"/>
      <c r="K678" s="8"/>
      <c r="L678" s="8"/>
      <c r="M678" s="8"/>
    </row>
    <row r="679">
      <c r="J679" s="8"/>
      <c r="K679" s="8"/>
      <c r="L679" s="8"/>
      <c r="M679" s="8"/>
    </row>
    <row r="680">
      <c r="J680" s="8"/>
      <c r="K680" s="8"/>
      <c r="L680" s="8"/>
      <c r="M680" s="8"/>
    </row>
    <row r="681">
      <c r="J681" s="8"/>
      <c r="K681" s="8"/>
      <c r="L681" s="8"/>
      <c r="M681" s="8"/>
    </row>
    <row r="682">
      <c r="J682" s="8"/>
      <c r="K682" s="8"/>
      <c r="L682" s="8"/>
      <c r="M682" s="8"/>
    </row>
    <row r="683">
      <c r="J683" s="8"/>
      <c r="K683" s="8"/>
      <c r="L683" s="8"/>
      <c r="M683" s="8"/>
    </row>
    <row r="684">
      <c r="J684" s="8"/>
      <c r="K684" s="8"/>
      <c r="L684" s="8"/>
      <c r="M684" s="8"/>
    </row>
    <row r="685">
      <c r="J685" s="8"/>
      <c r="K685" s="8"/>
      <c r="L685" s="8"/>
      <c r="M685" s="8"/>
    </row>
    <row r="686">
      <c r="J686" s="8"/>
      <c r="K686" s="8"/>
      <c r="L686" s="8"/>
      <c r="M686" s="8"/>
    </row>
    <row r="687">
      <c r="J687" s="8"/>
      <c r="K687" s="8"/>
      <c r="L687" s="8"/>
      <c r="M687" s="8"/>
    </row>
    <row r="688">
      <c r="J688" s="8"/>
      <c r="K688" s="8"/>
      <c r="L688" s="8"/>
      <c r="M688" s="8"/>
    </row>
    <row r="689">
      <c r="J689" s="8"/>
      <c r="K689" s="8"/>
      <c r="L689" s="8"/>
      <c r="M689" s="8"/>
    </row>
    <row r="690">
      <c r="J690" s="8"/>
      <c r="K690" s="8"/>
      <c r="L690" s="8"/>
      <c r="M690" s="8"/>
    </row>
    <row r="691">
      <c r="J691" s="8"/>
      <c r="K691" s="8"/>
      <c r="L691" s="8"/>
      <c r="M691" s="8"/>
    </row>
    <row r="692">
      <c r="J692" s="8"/>
      <c r="K692" s="8"/>
      <c r="L692" s="8"/>
      <c r="M692" s="8"/>
    </row>
    <row r="693">
      <c r="J693" s="8"/>
      <c r="K693" s="8"/>
      <c r="L693" s="8"/>
      <c r="M693" s="8"/>
    </row>
    <row r="694">
      <c r="J694" s="8"/>
      <c r="K694" s="8"/>
      <c r="L694" s="8"/>
      <c r="M694" s="8"/>
    </row>
    <row r="695">
      <c r="J695" s="8"/>
      <c r="K695" s="8"/>
      <c r="L695" s="8"/>
      <c r="M695" s="8"/>
    </row>
    <row r="696">
      <c r="J696" s="8"/>
      <c r="K696" s="8"/>
      <c r="L696" s="8"/>
      <c r="M696" s="8"/>
    </row>
    <row r="697">
      <c r="J697" s="8"/>
      <c r="K697" s="8"/>
      <c r="L697" s="8"/>
      <c r="M697" s="8"/>
    </row>
    <row r="698">
      <c r="J698" s="8"/>
      <c r="K698" s="8"/>
      <c r="L698" s="8"/>
      <c r="M698" s="8"/>
    </row>
    <row r="699">
      <c r="J699" s="8"/>
      <c r="K699" s="8"/>
      <c r="L699" s="8"/>
      <c r="M699" s="8"/>
    </row>
    <row r="700">
      <c r="J700" s="8"/>
      <c r="K700" s="8"/>
      <c r="L700" s="8"/>
      <c r="M700" s="8"/>
    </row>
    <row r="701">
      <c r="J701" s="8"/>
      <c r="K701" s="8"/>
      <c r="L701" s="8"/>
      <c r="M701" s="8"/>
    </row>
    <row r="702">
      <c r="J702" s="8"/>
      <c r="K702" s="8"/>
      <c r="L702" s="8"/>
      <c r="M702" s="8"/>
    </row>
    <row r="703">
      <c r="J703" s="8"/>
      <c r="K703" s="8"/>
      <c r="L703" s="8"/>
      <c r="M703" s="8"/>
    </row>
    <row r="704">
      <c r="J704" s="8"/>
      <c r="K704" s="8"/>
      <c r="L704" s="8"/>
      <c r="M704" s="8"/>
    </row>
    <row r="705">
      <c r="J705" s="8"/>
      <c r="K705" s="8"/>
      <c r="L705" s="8"/>
      <c r="M705" s="8"/>
    </row>
    <row r="706">
      <c r="J706" s="8"/>
      <c r="K706" s="8"/>
      <c r="L706" s="8"/>
      <c r="M706" s="8"/>
    </row>
    <row r="707">
      <c r="J707" s="8"/>
      <c r="K707" s="8"/>
      <c r="L707" s="8"/>
      <c r="M707" s="8"/>
    </row>
    <row r="708">
      <c r="J708" s="8"/>
      <c r="K708" s="8"/>
      <c r="L708" s="8"/>
      <c r="M708" s="8"/>
    </row>
    <row r="709">
      <c r="J709" s="8"/>
      <c r="K709" s="8"/>
      <c r="L709" s="8"/>
      <c r="M709" s="8"/>
    </row>
    <row r="710">
      <c r="J710" s="8"/>
      <c r="K710" s="8"/>
      <c r="L710" s="8"/>
      <c r="M710" s="8"/>
    </row>
    <row r="711">
      <c r="J711" s="8"/>
      <c r="K711" s="8"/>
      <c r="L711" s="8"/>
      <c r="M711" s="8"/>
    </row>
    <row r="712">
      <c r="J712" s="8"/>
      <c r="K712" s="8"/>
      <c r="L712" s="8"/>
      <c r="M712" s="8"/>
    </row>
    <row r="713">
      <c r="J713" s="8"/>
      <c r="K713" s="8"/>
      <c r="L713" s="8"/>
      <c r="M713" s="8"/>
    </row>
    <row r="714">
      <c r="J714" s="8"/>
      <c r="K714" s="8"/>
      <c r="L714" s="8"/>
      <c r="M714" s="8"/>
    </row>
    <row r="715">
      <c r="J715" s="8"/>
      <c r="K715" s="8"/>
      <c r="L715" s="8"/>
      <c r="M715" s="8"/>
    </row>
    <row r="716">
      <c r="J716" s="8"/>
      <c r="K716" s="8"/>
      <c r="L716" s="8"/>
      <c r="M716" s="8"/>
    </row>
    <row r="717">
      <c r="J717" s="8"/>
      <c r="K717" s="8"/>
      <c r="L717" s="8"/>
      <c r="M717" s="8"/>
    </row>
    <row r="718">
      <c r="J718" s="8"/>
      <c r="K718" s="8"/>
      <c r="L718" s="8"/>
      <c r="M718" s="8"/>
    </row>
    <row r="719">
      <c r="J719" s="8"/>
      <c r="K719" s="8"/>
      <c r="L719" s="8"/>
      <c r="M719" s="8"/>
    </row>
    <row r="720">
      <c r="J720" s="8"/>
      <c r="K720" s="8"/>
      <c r="L720" s="8"/>
      <c r="M720" s="8"/>
    </row>
    <row r="721">
      <c r="J721" s="8"/>
      <c r="K721" s="8"/>
      <c r="L721" s="8"/>
      <c r="M721" s="8"/>
    </row>
    <row r="722">
      <c r="J722" s="8"/>
      <c r="K722" s="8"/>
      <c r="L722" s="8"/>
      <c r="M722" s="8"/>
    </row>
    <row r="723">
      <c r="J723" s="8"/>
      <c r="K723" s="8"/>
      <c r="L723" s="8"/>
      <c r="M723" s="8"/>
    </row>
    <row r="724">
      <c r="J724" s="8"/>
      <c r="K724" s="8"/>
      <c r="L724" s="8"/>
      <c r="M724" s="8"/>
    </row>
    <row r="725">
      <c r="J725" s="8"/>
      <c r="K725" s="8"/>
      <c r="L725" s="8"/>
      <c r="M725" s="8"/>
    </row>
    <row r="726">
      <c r="J726" s="8"/>
      <c r="K726" s="8"/>
      <c r="L726" s="8"/>
      <c r="M726" s="8"/>
    </row>
    <row r="727">
      <c r="J727" s="8"/>
      <c r="K727" s="8"/>
      <c r="L727" s="8"/>
      <c r="M727" s="8"/>
    </row>
    <row r="728">
      <c r="J728" s="8"/>
      <c r="K728" s="8"/>
      <c r="L728" s="8"/>
      <c r="M728" s="8"/>
    </row>
    <row r="729">
      <c r="J729" s="8"/>
      <c r="K729" s="8"/>
      <c r="L729" s="8"/>
      <c r="M729" s="8"/>
    </row>
    <row r="730">
      <c r="J730" s="8"/>
      <c r="K730" s="8"/>
      <c r="L730" s="8"/>
      <c r="M730" s="8"/>
    </row>
    <row r="731">
      <c r="J731" s="8"/>
      <c r="K731" s="8"/>
      <c r="L731" s="8"/>
      <c r="M731" s="8"/>
    </row>
    <row r="732">
      <c r="J732" s="8"/>
      <c r="K732" s="8"/>
      <c r="L732" s="8"/>
      <c r="M732" s="8"/>
    </row>
    <row r="733">
      <c r="J733" s="8"/>
      <c r="K733" s="8"/>
      <c r="L733" s="8"/>
      <c r="M733" s="8"/>
    </row>
    <row r="734">
      <c r="J734" s="8"/>
      <c r="K734" s="8"/>
      <c r="L734" s="8"/>
      <c r="M734" s="8"/>
    </row>
    <row r="735">
      <c r="J735" s="8"/>
      <c r="K735" s="8"/>
      <c r="L735" s="8"/>
      <c r="M735" s="8"/>
    </row>
    <row r="736">
      <c r="J736" s="8"/>
      <c r="K736" s="8"/>
      <c r="L736" s="8"/>
      <c r="M736" s="8"/>
    </row>
    <row r="737">
      <c r="J737" s="8"/>
      <c r="K737" s="8"/>
      <c r="L737" s="8"/>
      <c r="M737" s="8"/>
    </row>
    <row r="738">
      <c r="J738" s="8"/>
      <c r="K738" s="8"/>
      <c r="L738" s="8"/>
      <c r="M738" s="8"/>
    </row>
    <row r="739">
      <c r="J739" s="8"/>
      <c r="K739" s="8"/>
      <c r="L739" s="8"/>
      <c r="M739" s="8"/>
    </row>
    <row r="740">
      <c r="J740" s="8"/>
      <c r="K740" s="8"/>
      <c r="L740" s="8"/>
      <c r="M740" s="8"/>
    </row>
    <row r="741">
      <c r="J741" s="8"/>
      <c r="K741" s="8"/>
      <c r="L741" s="8"/>
      <c r="M741" s="8"/>
    </row>
    <row r="742">
      <c r="J742" s="8"/>
      <c r="K742" s="8"/>
      <c r="L742" s="8"/>
      <c r="M742" s="8"/>
    </row>
    <row r="743">
      <c r="J743" s="8"/>
      <c r="K743" s="8"/>
      <c r="L743" s="8"/>
      <c r="M743" s="8"/>
    </row>
    <row r="744">
      <c r="J744" s="8"/>
      <c r="K744" s="8"/>
      <c r="L744" s="8"/>
      <c r="M744" s="8"/>
    </row>
    <row r="745">
      <c r="J745" s="8"/>
      <c r="K745" s="8"/>
      <c r="L745" s="8"/>
      <c r="M745" s="8"/>
    </row>
    <row r="746">
      <c r="J746" s="8"/>
      <c r="K746" s="8"/>
      <c r="L746" s="8"/>
      <c r="M746" s="8"/>
    </row>
    <row r="747">
      <c r="J747" s="8"/>
      <c r="K747" s="8"/>
      <c r="L747" s="8"/>
      <c r="M747" s="8"/>
    </row>
    <row r="748">
      <c r="J748" s="8"/>
      <c r="K748" s="8"/>
      <c r="L748" s="8"/>
      <c r="M748" s="8"/>
    </row>
    <row r="749">
      <c r="J749" s="8"/>
      <c r="K749" s="8"/>
      <c r="L749" s="8"/>
      <c r="M749" s="8"/>
    </row>
    <row r="750">
      <c r="J750" s="8"/>
      <c r="K750" s="8"/>
      <c r="L750" s="8"/>
      <c r="M750" s="8"/>
    </row>
    <row r="751">
      <c r="J751" s="8"/>
      <c r="K751" s="8"/>
      <c r="L751" s="8"/>
      <c r="M751" s="8"/>
    </row>
    <row r="752">
      <c r="J752" s="8"/>
      <c r="K752" s="8"/>
      <c r="L752" s="8"/>
      <c r="M752" s="8"/>
    </row>
    <row r="753">
      <c r="J753" s="8"/>
      <c r="K753" s="8"/>
      <c r="L753" s="8"/>
      <c r="M753" s="8"/>
    </row>
    <row r="754">
      <c r="J754" s="8"/>
      <c r="K754" s="8"/>
      <c r="L754" s="8"/>
      <c r="M754" s="8"/>
    </row>
    <row r="755">
      <c r="J755" s="8"/>
      <c r="K755" s="8"/>
      <c r="L755" s="8"/>
      <c r="M755" s="8"/>
    </row>
    <row r="756">
      <c r="J756" s="8"/>
      <c r="K756" s="8"/>
      <c r="L756" s="8"/>
      <c r="M756" s="8"/>
    </row>
    <row r="757">
      <c r="J757" s="8"/>
      <c r="K757" s="8"/>
      <c r="L757" s="8"/>
      <c r="M757" s="8"/>
    </row>
    <row r="758">
      <c r="J758" s="8"/>
      <c r="K758" s="8"/>
      <c r="L758" s="8"/>
      <c r="M758" s="8"/>
    </row>
    <row r="759">
      <c r="J759" s="8"/>
      <c r="K759" s="8"/>
      <c r="L759" s="8"/>
      <c r="M759" s="8"/>
    </row>
    <row r="760">
      <c r="J760" s="8"/>
      <c r="K760" s="8"/>
      <c r="L760" s="8"/>
      <c r="M760" s="8"/>
    </row>
    <row r="761">
      <c r="J761" s="8"/>
      <c r="K761" s="8"/>
      <c r="L761" s="8"/>
      <c r="M761" s="8"/>
    </row>
    <row r="762">
      <c r="J762" s="8"/>
      <c r="K762" s="8"/>
      <c r="L762" s="8"/>
      <c r="M762" s="8"/>
    </row>
    <row r="763">
      <c r="J763" s="8"/>
      <c r="K763" s="8"/>
      <c r="L763" s="8"/>
      <c r="M763" s="8"/>
    </row>
    <row r="764">
      <c r="J764" s="8"/>
      <c r="K764" s="8"/>
      <c r="L764" s="8"/>
      <c r="M764" s="8"/>
    </row>
    <row r="765">
      <c r="J765" s="8"/>
      <c r="K765" s="8"/>
      <c r="L765" s="8"/>
      <c r="M765" s="8"/>
    </row>
    <row r="766">
      <c r="J766" s="8"/>
      <c r="K766" s="8"/>
      <c r="L766" s="8"/>
      <c r="M766" s="8"/>
    </row>
    <row r="767">
      <c r="J767" s="8"/>
      <c r="K767" s="8"/>
      <c r="L767" s="8"/>
      <c r="M767" s="8"/>
    </row>
    <row r="768">
      <c r="J768" s="8"/>
      <c r="K768" s="8"/>
      <c r="L768" s="8"/>
      <c r="M768" s="8"/>
    </row>
    <row r="769">
      <c r="J769" s="8"/>
      <c r="K769" s="8"/>
      <c r="L769" s="8"/>
      <c r="M769" s="8"/>
    </row>
    <row r="770">
      <c r="J770" s="8"/>
      <c r="K770" s="8"/>
      <c r="L770" s="8"/>
      <c r="M770" s="8"/>
    </row>
    <row r="771">
      <c r="J771" s="8"/>
      <c r="K771" s="8"/>
      <c r="L771" s="8"/>
      <c r="M771" s="8"/>
    </row>
    <row r="772">
      <c r="J772" s="8"/>
      <c r="K772" s="8"/>
      <c r="L772" s="8"/>
      <c r="M772" s="8"/>
    </row>
    <row r="773">
      <c r="J773" s="8"/>
      <c r="K773" s="8"/>
      <c r="L773" s="8"/>
      <c r="M773" s="8"/>
    </row>
    <row r="774">
      <c r="J774" s="8"/>
      <c r="K774" s="8"/>
      <c r="L774" s="8"/>
      <c r="M774" s="8"/>
    </row>
    <row r="775">
      <c r="J775" s="8"/>
      <c r="K775" s="8"/>
      <c r="L775" s="8"/>
      <c r="M775" s="8"/>
    </row>
    <row r="776">
      <c r="J776" s="8"/>
      <c r="K776" s="8"/>
      <c r="L776" s="8"/>
      <c r="M776" s="8"/>
    </row>
    <row r="777">
      <c r="J777" s="8"/>
      <c r="K777" s="8"/>
      <c r="L777" s="8"/>
      <c r="M777" s="8"/>
    </row>
    <row r="778">
      <c r="J778" s="8"/>
      <c r="K778" s="8"/>
      <c r="L778" s="8"/>
      <c r="M778" s="8"/>
    </row>
    <row r="779">
      <c r="J779" s="8"/>
      <c r="K779" s="8"/>
      <c r="L779" s="8"/>
      <c r="M779" s="8"/>
    </row>
    <row r="780">
      <c r="J780" s="8"/>
      <c r="K780" s="8"/>
      <c r="L780" s="8"/>
      <c r="M780" s="8"/>
    </row>
    <row r="781">
      <c r="J781" s="8"/>
      <c r="K781" s="8"/>
      <c r="L781" s="8"/>
      <c r="M781" s="8"/>
    </row>
    <row r="782">
      <c r="J782" s="8"/>
      <c r="K782" s="8"/>
      <c r="L782" s="8"/>
      <c r="M782" s="8"/>
    </row>
    <row r="783">
      <c r="J783" s="8"/>
      <c r="K783" s="8"/>
      <c r="L783" s="8"/>
      <c r="M783" s="8"/>
    </row>
    <row r="784">
      <c r="J784" s="8"/>
      <c r="K784" s="8"/>
      <c r="L784" s="8"/>
      <c r="M784" s="8"/>
    </row>
    <row r="785">
      <c r="J785" s="8"/>
      <c r="K785" s="8"/>
      <c r="L785" s="8"/>
      <c r="M785" s="8"/>
    </row>
    <row r="786">
      <c r="J786" s="8"/>
      <c r="K786" s="8"/>
      <c r="L786" s="8"/>
      <c r="M786" s="8"/>
    </row>
    <row r="787">
      <c r="J787" s="8"/>
      <c r="K787" s="8"/>
      <c r="L787" s="8"/>
      <c r="M787" s="8"/>
    </row>
    <row r="788">
      <c r="J788" s="8"/>
      <c r="K788" s="8"/>
      <c r="L788" s="8"/>
      <c r="M788" s="8"/>
    </row>
    <row r="789">
      <c r="J789" s="8"/>
      <c r="K789" s="8"/>
      <c r="L789" s="8"/>
      <c r="M789" s="8"/>
    </row>
    <row r="790">
      <c r="J790" s="8"/>
      <c r="K790" s="8"/>
      <c r="L790" s="8"/>
      <c r="M790" s="8"/>
    </row>
    <row r="791">
      <c r="J791" s="8"/>
      <c r="K791" s="8"/>
      <c r="L791" s="8"/>
      <c r="M791" s="8"/>
    </row>
    <row r="792">
      <c r="J792" s="8"/>
      <c r="K792" s="8"/>
      <c r="L792" s="8"/>
      <c r="M792" s="8"/>
    </row>
    <row r="793">
      <c r="J793" s="8"/>
      <c r="K793" s="8"/>
      <c r="L793" s="8"/>
      <c r="M793" s="8"/>
    </row>
    <row r="794">
      <c r="J794" s="8"/>
      <c r="K794" s="8"/>
      <c r="L794" s="8"/>
      <c r="M794" s="8"/>
    </row>
    <row r="795">
      <c r="J795" s="8"/>
      <c r="K795" s="8"/>
      <c r="L795" s="8"/>
      <c r="M795" s="8"/>
    </row>
    <row r="796">
      <c r="J796" s="8"/>
      <c r="K796" s="8"/>
      <c r="L796" s="8"/>
      <c r="M796" s="8"/>
    </row>
    <row r="797">
      <c r="J797" s="8"/>
      <c r="K797" s="8"/>
      <c r="L797" s="8"/>
      <c r="M797" s="8"/>
    </row>
    <row r="798">
      <c r="J798" s="8"/>
      <c r="K798" s="8"/>
      <c r="L798" s="8"/>
      <c r="M798" s="8"/>
    </row>
    <row r="799">
      <c r="J799" s="8"/>
      <c r="K799" s="8"/>
      <c r="L799" s="8"/>
      <c r="M799" s="8"/>
    </row>
    <row r="800">
      <c r="J800" s="8"/>
      <c r="K800" s="8"/>
      <c r="L800" s="8"/>
      <c r="M800" s="8"/>
    </row>
    <row r="801">
      <c r="J801" s="8"/>
      <c r="K801" s="8"/>
      <c r="L801" s="8"/>
      <c r="M801" s="8"/>
    </row>
    <row r="802">
      <c r="J802" s="8"/>
      <c r="K802" s="8"/>
      <c r="L802" s="8"/>
      <c r="M802" s="8"/>
    </row>
    <row r="803">
      <c r="J803" s="8"/>
      <c r="K803" s="8"/>
      <c r="L803" s="8"/>
      <c r="M803" s="8"/>
    </row>
    <row r="804">
      <c r="J804" s="8"/>
      <c r="K804" s="8"/>
      <c r="L804" s="8"/>
      <c r="M804" s="8"/>
    </row>
    <row r="805">
      <c r="J805" s="8"/>
      <c r="K805" s="8"/>
      <c r="L805" s="8"/>
      <c r="M805" s="8"/>
    </row>
    <row r="806">
      <c r="J806" s="8"/>
      <c r="K806" s="8"/>
      <c r="L806" s="8"/>
      <c r="M806" s="8"/>
    </row>
    <row r="807">
      <c r="J807" s="8"/>
      <c r="K807" s="8"/>
      <c r="L807" s="8"/>
      <c r="M807" s="8"/>
    </row>
    <row r="808">
      <c r="J808" s="8"/>
      <c r="K808" s="8"/>
      <c r="L808" s="8"/>
      <c r="M808" s="8"/>
    </row>
    <row r="809">
      <c r="J809" s="8"/>
      <c r="K809" s="8"/>
      <c r="L809" s="8"/>
      <c r="M809" s="8"/>
    </row>
    <row r="810">
      <c r="J810" s="8"/>
      <c r="K810" s="8"/>
      <c r="L810" s="8"/>
      <c r="M810" s="8"/>
    </row>
    <row r="811">
      <c r="J811" s="8"/>
      <c r="K811" s="8"/>
      <c r="L811" s="8"/>
      <c r="M811" s="8"/>
    </row>
    <row r="812">
      <c r="J812" s="8"/>
      <c r="K812" s="8"/>
      <c r="L812" s="8"/>
      <c r="M812" s="8"/>
    </row>
    <row r="813">
      <c r="J813" s="8"/>
      <c r="K813" s="8"/>
      <c r="L813" s="8"/>
      <c r="M813" s="8"/>
    </row>
    <row r="814">
      <c r="J814" s="8"/>
      <c r="K814" s="8"/>
      <c r="L814" s="8"/>
      <c r="M814" s="8"/>
    </row>
    <row r="815">
      <c r="J815" s="8"/>
      <c r="K815" s="8"/>
      <c r="L815" s="8"/>
      <c r="M815" s="8"/>
    </row>
    <row r="816">
      <c r="J816" s="8"/>
      <c r="K816" s="8"/>
      <c r="L816" s="8"/>
      <c r="M816" s="8"/>
    </row>
    <row r="817">
      <c r="J817" s="8"/>
      <c r="K817" s="8"/>
      <c r="L817" s="8"/>
      <c r="M817" s="8"/>
    </row>
    <row r="818">
      <c r="J818" s="8"/>
      <c r="K818" s="8"/>
      <c r="L818" s="8"/>
      <c r="M818" s="8"/>
    </row>
    <row r="819">
      <c r="J819" s="8"/>
      <c r="K819" s="8"/>
      <c r="L819" s="8"/>
      <c r="M819" s="8"/>
    </row>
    <row r="820">
      <c r="J820" s="8"/>
      <c r="K820" s="8"/>
      <c r="L820" s="8"/>
      <c r="M820" s="8"/>
    </row>
    <row r="821">
      <c r="J821" s="8"/>
      <c r="K821" s="8"/>
      <c r="L821" s="8"/>
      <c r="M821" s="8"/>
    </row>
    <row r="822">
      <c r="J822" s="8"/>
      <c r="K822" s="8"/>
      <c r="L822" s="8"/>
      <c r="M822" s="8"/>
    </row>
    <row r="823">
      <c r="J823" s="8"/>
      <c r="K823" s="8"/>
      <c r="L823" s="8"/>
      <c r="M823" s="8"/>
    </row>
    <row r="824">
      <c r="J824" s="8"/>
      <c r="K824" s="8"/>
      <c r="L824" s="8"/>
      <c r="M824" s="8"/>
    </row>
    <row r="825">
      <c r="J825" s="8"/>
      <c r="K825" s="8"/>
      <c r="L825" s="8"/>
      <c r="M825" s="8"/>
    </row>
    <row r="826">
      <c r="J826" s="8"/>
      <c r="K826" s="8"/>
      <c r="L826" s="8"/>
      <c r="M826" s="8"/>
    </row>
    <row r="827">
      <c r="J827" s="8"/>
      <c r="K827" s="8"/>
      <c r="L827" s="8"/>
      <c r="M827" s="8"/>
    </row>
    <row r="828">
      <c r="J828" s="8"/>
      <c r="K828" s="8"/>
      <c r="L828" s="8"/>
      <c r="M828" s="8"/>
    </row>
    <row r="829">
      <c r="J829" s="8"/>
      <c r="K829" s="8"/>
      <c r="L829" s="8"/>
      <c r="M829" s="8"/>
    </row>
    <row r="830">
      <c r="J830" s="8"/>
      <c r="K830" s="8"/>
      <c r="L830" s="8"/>
      <c r="M830" s="8"/>
    </row>
    <row r="831">
      <c r="J831" s="8"/>
      <c r="K831" s="8"/>
      <c r="L831" s="8"/>
      <c r="M831" s="8"/>
    </row>
    <row r="832">
      <c r="J832" s="8"/>
      <c r="K832" s="8"/>
      <c r="L832" s="8"/>
      <c r="M832" s="8"/>
    </row>
    <row r="833">
      <c r="J833" s="8"/>
      <c r="K833" s="8"/>
      <c r="L833" s="8"/>
      <c r="M833" s="8"/>
    </row>
    <row r="834">
      <c r="J834" s="8"/>
      <c r="K834" s="8"/>
      <c r="L834" s="8"/>
      <c r="M834" s="8"/>
    </row>
    <row r="835">
      <c r="J835" s="8"/>
      <c r="K835" s="8"/>
      <c r="L835" s="8"/>
      <c r="M835" s="8"/>
    </row>
    <row r="836">
      <c r="J836" s="8"/>
      <c r="K836" s="8"/>
      <c r="L836" s="8"/>
      <c r="M836" s="8"/>
    </row>
    <row r="837">
      <c r="J837" s="8"/>
      <c r="K837" s="8"/>
      <c r="L837" s="8"/>
      <c r="M837" s="8"/>
    </row>
    <row r="838">
      <c r="J838" s="8"/>
      <c r="K838" s="8"/>
      <c r="L838" s="8"/>
      <c r="M838" s="8"/>
    </row>
    <row r="839">
      <c r="J839" s="8"/>
      <c r="K839" s="8"/>
      <c r="L839" s="8"/>
      <c r="M839" s="8"/>
    </row>
    <row r="840">
      <c r="J840" s="8"/>
      <c r="K840" s="8"/>
      <c r="L840" s="8"/>
      <c r="M840" s="8"/>
    </row>
    <row r="841">
      <c r="J841" s="8"/>
      <c r="K841" s="8"/>
      <c r="L841" s="8"/>
      <c r="M841" s="8"/>
    </row>
    <row r="842">
      <c r="J842" s="8"/>
      <c r="K842" s="8"/>
      <c r="L842" s="8"/>
      <c r="M842" s="8"/>
    </row>
    <row r="843">
      <c r="J843" s="8"/>
      <c r="K843" s="8"/>
      <c r="L843" s="8"/>
      <c r="M843" s="8"/>
    </row>
    <row r="844">
      <c r="J844" s="8"/>
      <c r="K844" s="8"/>
      <c r="L844" s="8"/>
      <c r="M844" s="8"/>
    </row>
    <row r="845">
      <c r="J845" s="8"/>
      <c r="K845" s="8"/>
      <c r="L845" s="8"/>
      <c r="M845" s="8"/>
    </row>
    <row r="846">
      <c r="J846" s="8"/>
      <c r="K846" s="8"/>
      <c r="L846" s="8"/>
      <c r="M846" s="8"/>
    </row>
    <row r="847">
      <c r="J847" s="8"/>
      <c r="K847" s="8"/>
      <c r="L847" s="8"/>
      <c r="M847" s="8"/>
    </row>
    <row r="848">
      <c r="J848" s="8"/>
      <c r="K848" s="8"/>
      <c r="L848" s="8"/>
      <c r="M848" s="8"/>
    </row>
    <row r="849">
      <c r="J849" s="8"/>
      <c r="K849" s="8"/>
      <c r="L849" s="8"/>
      <c r="M849" s="8"/>
    </row>
    <row r="850">
      <c r="J850" s="8"/>
      <c r="K850" s="8"/>
      <c r="L850" s="8"/>
      <c r="M850" s="8"/>
    </row>
    <row r="851">
      <c r="J851" s="8"/>
      <c r="K851" s="8"/>
      <c r="L851" s="8"/>
      <c r="M851" s="8"/>
    </row>
    <row r="852">
      <c r="J852" s="8"/>
      <c r="K852" s="8"/>
      <c r="L852" s="8"/>
      <c r="M852" s="8"/>
    </row>
    <row r="853">
      <c r="J853" s="8"/>
      <c r="K853" s="8"/>
      <c r="L853" s="8"/>
      <c r="M853" s="8"/>
    </row>
    <row r="854">
      <c r="J854" s="8"/>
      <c r="K854" s="8"/>
      <c r="L854" s="8"/>
      <c r="M854" s="8"/>
    </row>
    <row r="855">
      <c r="J855" s="8"/>
      <c r="K855" s="8"/>
      <c r="L855" s="8"/>
      <c r="M855" s="8"/>
    </row>
    <row r="856">
      <c r="J856" s="8"/>
      <c r="K856" s="8"/>
      <c r="L856" s="8"/>
      <c r="M856" s="8"/>
    </row>
    <row r="857">
      <c r="J857" s="8"/>
      <c r="K857" s="8"/>
      <c r="L857" s="8"/>
      <c r="M857" s="8"/>
    </row>
    <row r="858">
      <c r="J858" s="8"/>
      <c r="K858" s="8"/>
      <c r="L858" s="8"/>
      <c r="M858" s="8"/>
    </row>
    <row r="859">
      <c r="J859" s="8"/>
      <c r="K859" s="8"/>
      <c r="L859" s="8"/>
      <c r="M859" s="8"/>
    </row>
    <row r="860">
      <c r="J860" s="8"/>
      <c r="K860" s="8"/>
      <c r="L860" s="8"/>
      <c r="M860" s="8"/>
    </row>
    <row r="861">
      <c r="J861" s="8"/>
      <c r="K861" s="8"/>
      <c r="L861" s="8"/>
      <c r="M861" s="8"/>
    </row>
    <row r="862">
      <c r="J862" s="8"/>
      <c r="K862" s="8"/>
      <c r="L862" s="8"/>
      <c r="M862" s="8"/>
    </row>
    <row r="863">
      <c r="J863" s="8"/>
      <c r="K863" s="8"/>
      <c r="L863" s="8"/>
      <c r="M863" s="8"/>
    </row>
    <row r="864">
      <c r="J864" s="8"/>
      <c r="K864" s="8"/>
      <c r="L864" s="8"/>
      <c r="M864" s="8"/>
    </row>
    <row r="865">
      <c r="J865" s="8"/>
      <c r="K865" s="8"/>
      <c r="L865" s="8"/>
      <c r="M865" s="8"/>
    </row>
    <row r="866">
      <c r="J866" s="8"/>
      <c r="K866" s="8"/>
      <c r="L866" s="8"/>
      <c r="M866" s="8"/>
    </row>
    <row r="867">
      <c r="J867" s="8"/>
      <c r="K867" s="8"/>
      <c r="L867" s="8"/>
      <c r="M867" s="8"/>
    </row>
    <row r="868">
      <c r="J868" s="8"/>
      <c r="K868" s="8"/>
      <c r="L868" s="8"/>
      <c r="M868" s="8"/>
    </row>
    <row r="869">
      <c r="J869" s="8"/>
      <c r="K869" s="8"/>
      <c r="L869" s="8"/>
      <c r="M869" s="8"/>
    </row>
    <row r="870">
      <c r="J870" s="8"/>
      <c r="K870" s="8"/>
      <c r="L870" s="8"/>
      <c r="M870" s="8"/>
    </row>
    <row r="871">
      <c r="J871" s="8"/>
      <c r="K871" s="8"/>
      <c r="L871" s="8"/>
      <c r="M871" s="8"/>
    </row>
    <row r="872">
      <c r="J872" s="8"/>
      <c r="K872" s="8"/>
      <c r="L872" s="8"/>
      <c r="M872" s="8"/>
    </row>
    <row r="873">
      <c r="J873" s="8"/>
      <c r="K873" s="8"/>
      <c r="L873" s="8"/>
      <c r="M873" s="8"/>
    </row>
    <row r="874">
      <c r="J874" s="8"/>
      <c r="K874" s="8"/>
      <c r="L874" s="8"/>
      <c r="M874" s="8"/>
    </row>
    <row r="875">
      <c r="J875" s="8"/>
      <c r="K875" s="8"/>
      <c r="L875" s="8"/>
      <c r="M875" s="8"/>
    </row>
    <row r="876">
      <c r="J876" s="8"/>
      <c r="K876" s="8"/>
      <c r="L876" s="8"/>
      <c r="M876" s="8"/>
    </row>
    <row r="877">
      <c r="J877" s="8"/>
      <c r="K877" s="8"/>
      <c r="L877" s="8"/>
      <c r="M877" s="8"/>
    </row>
    <row r="878">
      <c r="J878" s="8"/>
      <c r="K878" s="8"/>
      <c r="L878" s="8"/>
      <c r="M878" s="8"/>
    </row>
    <row r="879">
      <c r="J879" s="8"/>
      <c r="K879" s="8"/>
      <c r="L879" s="8"/>
      <c r="M879" s="8"/>
    </row>
    <row r="880">
      <c r="J880" s="8"/>
      <c r="K880" s="8"/>
      <c r="L880" s="8"/>
      <c r="M880" s="8"/>
    </row>
    <row r="881">
      <c r="J881" s="8"/>
      <c r="K881" s="8"/>
      <c r="L881" s="8"/>
      <c r="M881" s="8"/>
    </row>
    <row r="882">
      <c r="J882" s="8"/>
      <c r="K882" s="8"/>
      <c r="L882" s="8"/>
      <c r="M882" s="8"/>
    </row>
    <row r="883">
      <c r="J883" s="8"/>
      <c r="K883" s="8"/>
      <c r="L883" s="8"/>
      <c r="M883" s="8"/>
    </row>
    <row r="884">
      <c r="J884" s="8"/>
      <c r="K884" s="8"/>
      <c r="L884" s="8"/>
      <c r="M884" s="8"/>
    </row>
    <row r="885">
      <c r="J885" s="8"/>
      <c r="K885" s="8"/>
      <c r="L885" s="8"/>
      <c r="M885" s="8"/>
    </row>
    <row r="886">
      <c r="J886" s="8"/>
      <c r="K886" s="8"/>
      <c r="L886" s="8"/>
      <c r="M886" s="8"/>
    </row>
    <row r="887">
      <c r="J887" s="8"/>
      <c r="K887" s="8"/>
      <c r="L887" s="8"/>
      <c r="M887" s="8"/>
    </row>
    <row r="888">
      <c r="J888" s="8"/>
      <c r="K888" s="8"/>
      <c r="L888" s="8"/>
      <c r="M888" s="8"/>
    </row>
    <row r="889">
      <c r="J889" s="8"/>
      <c r="K889" s="8"/>
      <c r="L889" s="8"/>
      <c r="M889" s="8"/>
    </row>
    <row r="890">
      <c r="J890" s="8"/>
      <c r="K890" s="8"/>
      <c r="L890" s="8"/>
      <c r="M890" s="8"/>
    </row>
    <row r="891">
      <c r="J891" s="8"/>
      <c r="K891" s="8"/>
      <c r="L891" s="8"/>
      <c r="M891" s="8"/>
    </row>
    <row r="892">
      <c r="J892" s="8"/>
      <c r="K892" s="8"/>
      <c r="L892" s="8"/>
      <c r="M892" s="8"/>
    </row>
    <row r="893">
      <c r="J893" s="8"/>
      <c r="K893" s="8"/>
      <c r="L893" s="8"/>
      <c r="M893" s="8"/>
    </row>
    <row r="894">
      <c r="J894" s="8"/>
      <c r="K894" s="8"/>
      <c r="L894" s="8"/>
      <c r="M894" s="8"/>
    </row>
    <row r="895">
      <c r="J895" s="8"/>
      <c r="K895" s="8"/>
      <c r="L895" s="8"/>
      <c r="M895" s="8"/>
    </row>
    <row r="896">
      <c r="J896" s="8"/>
      <c r="K896" s="8"/>
      <c r="L896" s="8"/>
      <c r="M896" s="8"/>
    </row>
    <row r="897">
      <c r="J897" s="8"/>
      <c r="K897" s="8"/>
      <c r="L897" s="8"/>
      <c r="M897" s="8"/>
    </row>
    <row r="898">
      <c r="J898" s="8"/>
      <c r="K898" s="8"/>
      <c r="L898" s="8"/>
      <c r="M898" s="8"/>
    </row>
    <row r="899">
      <c r="J899" s="8"/>
      <c r="K899" s="8"/>
      <c r="L899" s="8"/>
      <c r="M899" s="8"/>
    </row>
    <row r="900">
      <c r="J900" s="8"/>
      <c r="K900" s="8"/>
      <c r="L900" s="8"/>
      <c r="M900" s="8"/>
    </row>
    <row r="901">
      <c r="J901" s="8"/>
      <c r="K901" s="8"/>
      <c r="L901" s="8"/>
      <c r="M901" s="8"/>
    </row>
    <row r="902">
      <c r="J902" s="8"/>
      <c r="K902" s="8"/>
      <c r="L902" s="8"/>
      <c r="M902" s="8"/>
    </row>
    <row r="903">
      <c r="J903" s="8"/>
      <c r="K903" s="8"/>
      <c r="L903" s="8"/>
      <c r="M903" s="8"/>
    </row>
    <row r="904">
      <c r="J904" s="8"/>
      <c r="K904" s="8"/>
      <c r="L904" s="8"/>
      <c r="M904" s="8"/>
    </row>
    <row r="905">
      <c r="J905" s="8"/>
      <c r="K905" s="8"/>
      <c r="L905" s="8"/>
      <c r="M905" s="8"/>
    </row>
    <row r="906">
      <c r="J906" s="8"/>
      <c r="K906" s="8"/>
      <c r="L906" s="8"/>
      <c r="M906" s="8"/>
    </row>
    <row r="907">
      <c r="J907" s="8"/>
      <c r="K907" s="8"/>
      <c r="L907" s="8"/>
      <c r="M907" s="8"/>
    </row>
    <row r="908">
      <c r="J908" s="8"/>
      <c r="K908" s="8"/>
      <c r="L908" s="8"/>
      <c r="M908" s="8"/>
    </row>
    <row r="909">
      <c r="J909" s="8"/>
      <c r="K909" s="8"/>
      <c r="L909" s="8"/>
      <c r="M909" s="8"/>
    </row>
    <row r="910">
      <c r="J910" s="8"/>
      <c r="K910" s="8"/>
      <c r="L910" s="8"/>
      <c r="M910" s="8"/>
    </row>
    <row r="911">
      <c r="J911" s="8"/>
      <c r="K911" s="8"/>
      <c r="L911" s="8"/>
      <c r="M911" s="8"/>
    </row>
    <row r="912">
      <c r="J912" s="8"/>
      <c r="K912" s="8"/>
      <c r="L912" s="8"/>
      <c r="M912" s="8"/>
    </row>
    <row r="913">
      <c r="J913" s="8"/>
      <c r="K913" s="8"/>
      <c r="L913" s="8"/>
      <c r="M913" s="8"/>
    </row>
    <row r="914">
      <c r="J914" s="8"/>
      <c r="K914" s="8"/>
      <c r="L914" s="8"/>
      <c r="M914" s="8"/>
    </row>
    <row r="915">
      <c r="J915" s="8"/>
      <c r="K915" s="8"/>
      <c r="L915" s="8"/>
      <c r="M915" s="8"/>
    </row>
    <row r="916">
      <c r="J916" s="8"/>
      <c r="K916" s="8"/>
      <c r="L916" s="8"/>
      <c r="M916" s="8"/>
    </row>
    <row r="917">
      <c r="J917" s="8"/>
      <c r="K917" s="8"/>
      <c r="L917" s="8"/>
      <c r="M917" s="8"/>
    </row>
    <row r="918">
      <c r="J918" s="8"/>
      <c r="K918" s="8"/>
      <c r="L918" s="8"/>
      <c r="M918" s="8"/>
    </row>
    <row r="919">
      <c r="J919" s="8"/>
      <c r="K919" s="8"/>
      <c r="L919" s="8"/>
      <c r="M919" s="8"/>
    </row>
    <row r="920">
      <c r="J920" s="8"/>
      <c r="K920" s="8"/>
      <c r="L920" s="8"/>
      <c r="M920" s="8"/>
    </row>
    <row r="921">
      <c r="J921" s="8"/>
      <c r="K921" s="8"/>
      <c r="L921" s="8"/>
      <c r="M921" s="8"/>
    </row>
    <row r="922">
      <c r="J922" s="8"/>
      <c r="K922" s="8"/>
      <c r="L922" s="8"/>
      <c r="M922" s="8"/>
    </row>
    <row r="923">
      <c r="J923" s="8"/>
      <c r="K923" s="8"/>
      <c r="L923" s="8"/>
      <c r="M923" s="8"/>
    </row>
  </sheetData>
  <drawing r:id="rId1"/>
</worksheet>
</file>